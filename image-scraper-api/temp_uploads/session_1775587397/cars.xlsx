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ft\Downloads\"/>
    </mc:Choice>
  </mc:AlternateContent>
  <bookViews>
    <workbookView xWindow="0" yWindow="0" windowWidth="15360" windowHeight="8400" activeTab="4"/>
  </bookViews>
  <sheets>
    <sheet name="غلة" sheetId="1" r:id="rId1"/>
    <sheet name="تبييض لنا" sheetId="7" r:id="rId2"/>
    <sheet name="تبييض له" sheetId="8" r:id="rId3"/>
    <sheet name="له" sheetId="10" r:id="rId4"/>
    <sheet name="لنا " sheetId="1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8" i="11" l="1"/>
  <c r="C47" i="11"/>
  <c r="C46" i="11"/>
  <c r="C45" i="11"/>
  <c r="C44" i="11" l="1"/>
  <c r="B24" i="10" l="1"/>
  <c r="C23" i="10"/>
  <c r="C43" i="11"/>
  <c r="C22" i="10" l="1"/>
  <c r="C42" i="11"/>
  <c r="C41" i="11"/>
  <c r="C21" i="10"/>
  <c r="C20" i="10"/>
  <c r="C40" i="11" l="1"/>
  <c r="C19" i="10" l="1"/>
  <c r="C39" i="11"/>
  <c r="C37" i="11" l="1"/>
  <c r="C38" i="11" l="1"/>
  <c r="C36" i="11" l="1"/>
  <c r="C18" i="10"/>
  <c r="C35" i="11"/>
  <c r="C17" i="10"/>
  <c r="C16" i="10" l="1"/>
  <c r="C34" i="11" l="1"/>
  <c r="C33" i="11"/>
  <c r="C32" i="11"/>
  <c r="C31" i="11"/>
  <c r="C15" i="10" l="1"/>
  <c r="C30" i="11"/>
  <c r="C3" i="10" l="1"/>
  <c r="C4" i="10"/>
  <c r="C5" i="10"/>
  <c r="C6" i="10"/>
  <c r="C7" i="10"/>
  <c r="C8" i="10"/>
  <c r="C9" i="10"/>
  <c r="C10" i="10"/>
  <c r="C11" i="10"/>
  <c r="C12" i="10"/>
  <c r="C13" i="10"/>
  <c r="C14" i="10"/>
  <c r="C2" i="10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2" i="11"/>
  <c r="C48" i="11" l="1"/>
  <c r="C24" i="10"/>
  <c r="E19" i="7"/>
  <c r="C18" i="8" l="1"/>
  <c r="D39" i="7"/>
  <c r="E38" i="7" l="1"/>
  <c r="E37" i="7"/>
  <c r="E36" i="7"/>
  <c r="C17" i="8" l="1"/>
  <c r="C16" i="8"/>
  <c r="E35" i="7"/>
  <c r="C9" i="8" l="1"/>
  <c r="C8" i="8"/>
  <c r="C7" i="8"/>
  <c r="C3" i="8"/>
  <c r="C2" i="8"/>
  <c r="B19" i="8"/>
  <c r="C15" i="8"/>
  <c r="C14" i="8"/>
  <c r="C12" i="8"/>
  <c r="C11" i="8"/>
  <c r="C10" i="8"/>
  <c r="C6" i="8"/>
  <c r="C19" i="8" s="1"/>
  <c r="C5" i="8"/>
  <c r="C4" i="8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2" i="7"/>
  <c r="BH1" i="1"/>
  <c r="BH34" i="1"/>
  <c r="B2" i="7" l="1"/>
  <c r="BJ1" i="1"/>
  <c r="BH21" i="1"/>
  <c r="BH3" i="1"/>
  <c r="BH23" i="1"/>
  <c r="F12" i="1" l="1"/>
  <c r="BH28" i="1"/>
  <c r="F11" i="1" l="1"/>
  <c r="F10" i="1"/>
  <c r="F9" i="1"/>
  <c r="F8" i="1"/>
  <c r="F7" i="1"/>
  <c r="F6" i="1"/>
  <c r="F5" i="1"/>
  <c r="F4" i="1"/>
  <c r="F3" i="1"/>
  <c r="F2" i="1"/>
  <c r="F1" i="1"/>
  <c r="F16" i="1" l="1"/>
  <c r="BH42" i="1" s="1"/>
  <c r="BH31" i="1"/>
  <c r="BH30" i="1" l="1"/>
  <c r="BH29" i="1"/>
  <c r="BH27" i="1" l="1"/>
  <c r="BH26" i="1"/>
  <c r="BH25" i="1"/>
  <c r="BH24" i="1"/>
  <c r="BH22" i="1"/>
  <c r="BH20" i="1"/>
  <c r="BH19" i="1"/>
  <c r="BH18" i="1"/>
  <c r="BH16" i="1"/>
  <c r="BH15" i="1"/>
  <c r="BH14" i="1"/>
  <c r="BH13" i="1"/>
  <c r="BH12" i="1"/>
  <c r="BH11" i="1"/>
  <c r="BH10" i="1"/>
  <c r="BH9" i="1"/>
  <c r="BH8" i="1"/>
  <c r="BH7" i="1"/>
  <c r="BH6" i="1"/>
  <c r="BH5" i="1"/>
  <c r="BH4" i="1"/>
  <c r="BH2" i="1"/>
  <c r="BH17" i="1"/>
  <c r="BH41" i="1" l="1"/>
  <c r="E34" i="7" l="1"/>
  <c r="E39" i="7"/>
</calcChain>
</file>

<file path=xl/comments1.xml><?xml version="1.0" encoding="utf-8"?>
<comments xmlns="http://schemas.openxmlformats.org/spreadsheetml/2006/main">
  <authors>
    <author>soft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جمعية 
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المانيا </t>
        </r>
      </text>
    </comment>
    <comment ref="W1" authorId="0" shapeId="0">
      <text>
        <r>
          <rPr>
            <b/>
            <sz val="9"/>
            <color indexed="81"/>
            <rFont val="Tahoma"/>
            <family val="2"/>
          </rPr>
          <t>sسحب احمد</t>
        </r>
      </text>
    </comment>
    <comment ref="X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خسارة الفضة</t>
        </r>
      </text>
    </comment>
    <comment ref="Y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الفرق الاخبر مع احمد</t>
        </r>
      </text>
    </comment>
    <comment ref="Z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ميني كوبر</t>
        </r>
      </text>
    </comment>
    <comment ref="AA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بريك براك</t>
        </r>
      </text>
    </comment>
    <comment ref="AB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بكر</t>
        </r>
      </text>
    </comment>
    <comment ref="AC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كابو</t>
        </r>
      </text>
    </comment>
    <comment ref="AD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عماد</t>
        </r>
      </text>
    </comment>
    <comment ref="AE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رفراف</t>
        </r>
      </text>
    </comment>
    <comment ref="AF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عدوله</t>
        </r>
      </text>
    </comment>
    <comment ref="AG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صهيب</t>
        </r>
      </text>
    </comment>
    <comment ref="AH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ميني كوبر</t>
        </r>
      </text>
    </comment>
    <comment ref="AI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ميني كوبر
</t>
        </r>
      </text>
    </comment>
    <comment ref="AJ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من احمد
1300 rogg
2550 اشرف</t>
        </r>
      </text>
    </comment>
    <comment ref="AK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فضة</t>
        </r>
      </text>
    </comment>
    <comment ref="AL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1500 شيروكي
500 روفر ل فوق
</t>
        </r>
      </text>
    </comment>
    <comment ref="AS1" authorId="0" shapeId="0">
      <text>
        <r>
          <rPr>
            <b/>
            <sz val="9"/>
            <color indexed="81"/>
            <rFont val="Tahoma"/>
            <family val="2"/>
          </rPr>
          <t xml:space="preserve">soft:capo jet sky 
</t>
        </r>
      </text>
    </comment>
    <comment ref="AT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جمعية 
</t>
        </r>
      </text>
    </comment>
    <comment ref="AU1" authorId="0" shapeId="0">
      <text>
        <r>
          <rPr>
            <b/>
            <sz val="9"/>
            <color indexed="81"/>
            <rFont val="Tahoma"/>
            <family val="2"/>
          </rPr>
          <t xml:space="preserve">soft:عامر
</t>
        </r>
      </text>
    </comment>
    <comment ref="AV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المانيا
</t>
        </r>
      </text>
    </comment>
    <comment ref="AW1" authorId="0" shapeId="0">
      <text>
        <r>
          <rPr>
            <b/>
            <sz val="9"/>
            <color indexed="81"/>
            <rFont val="Tahoma"/>
            <family val="2"/>
          </rPr>
          <t xml:space="preserve">soft:container 
</t>
        </r>
      </text>
    </comment>
    <comment ref="AX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men hseb abdalla lal jm3iye 
</t>
        </r>
      </text>
    </comment>
    <comment ref="AY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men hseb yehya rang lal jem3iye 
</t>
        </r>
      </text>
    </comment>
    <comment ref="AZ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abou ahmad 
</t>
        </r>
      </text>
    </comment>
    <comment ref="BA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abu halime 
</t>
        </r>
      </text>
    </comment>
    <comment ref="BB1" authorId="0" shapeId="0">
      <text>
        <r>
          <rPr>
            <b/>
            <sz val="9"/>
            <color indexed="81"/>
            <rFont val="Tahoma"/>
            <family val="2"/>
          </rPr>
          <t xml:space="preserve">
جمرك rogg
</t>
        </r>
      </text>
    </comment>
    <comment ref="BC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ahmad 
</t>
        </r>
      </text>
    </comment>
    <comment ref="BD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kia
</t>
        </r>
      </text>
    </comment>
    <comment ref="BE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capo
</t>
        </r>
      </text>
    </comment>
    <comment ref="BF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34725
115.75
30000
</t>
        </r>
      </text>
    </comment>
    <comment ref="BI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2000 baker
2000 ahmad 
</t>
        </r>
      </text>
    </comment>
    <comment ref="BJ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$$$$
</t>
        </r>
      </text>
    </comment>
    <comment ref="BE3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فرق
</t>
        </r>
      </text>
    </comment>
    <comment ref="BG3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1  11
13000
</t>
        </r>
      </text>
    </comment>
    <comment ref="B4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جمعية 
</t>
        </r>
      </text>
    </comment>
    <comment ref="BG8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1 2000
لنا
</t>
        </r>
      </text>
    </comment>
    <comment ref="BG9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20
 له1000
</t>
        </r>
      </text>
    </comment>
    <comment ref="BC17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سطحة
</t>
        </r>
      </text>
    </comment>
    <comment ref="BD17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حداد
 تصليح
</t>
        </r>
      </text>
    </comment>
    <comment ref="BE17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فرش 
طبونة
حوالة
</t>
        </r>
      </text>
    </comment>
    <comment ref="BA18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بنزين</t>
        </r>
      </text>
    </comment>
    <comment ref="BB18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زجاج
</t>
        </r>
      </text>
    </comment>
    <comment ref="AZ20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عمار</t>
        </r>
      </text>
    </comment>
    <comment ref="BA20" authorId="0" shapeId="0">
      <text>
        <r>
          <rPr>
            <b/>
            <sz val="9"/>
            <color indexed="81"/>
            <rFont val="Tahoma"/>
            <family val="2"/>
          </rPr>
          <t>soft:رفراف</t>
        </r>
      </text>
    </comment>
    <comment ref="BB20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زيت</t>
        </r>
      </text>
    </comment>
    <comment ref="BC20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سطحة</t>
        </r>
      </text>
    </comment>
    <comment ref="BD20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لوك كامل
للتقسيم</t>
        </r>
      </text>
    </comment>
    <comment ref="AY21" authorId="0" shapeId="0">
      <text>
        <r>
          <rPr>
            <b/>
            <sz val="9"/>
            <color indexed="81"/>
            <rFont val="Tahoma"/>
            <family val="2"/>
          </rPr>
          <t>soft:</t>
        </r>
      </text>
    </comment>
    <comment ref="AZ2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فرق 190 
</t>
        </r>
      </text>
    </comment>
    <comment ref="BA21" authorId="0" shapeId="0">
      <text>
        <r>
          <rPr>
            <b/>
            <sz val="9"/>
            <color indexed="81"/>
            <rFont val="Tahoma"/>
            <family val="2"/>
          </rPr>
          <t xml:space="preserve">soft:حساب ابو احمد 
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سطحة</t>
        </r>
      </text>
    </comment>
    <comment ref="BB23" authorId="0" shapeId="0">
      <text/>
    </comment>
    <comment ref="BE29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عمار</t>
        </r>
      </text>
    </comment>
    <comment ref="AY30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قطع</t>
        </r>
      </text>
    </comment>
    <comment ref="BA30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عدولا سطحة و قطع</t>
        </r>
      </text>
    </comment>
    <comment ref="BB30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قطع</t>
        </r>
      </text>
    </comment>
    <comment ref="BC30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قطع 850</t>
        </r>
      </text>
    </comment>
    <comment ref="BD30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سطحة
</t>
        </r>
      </text>
    </comment>
    <comment ref="BE3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كلاس</t>
        </r>
      </text>
    </comment>
    <comment ref="BE34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سحب ل فادي عوض
</t>
        </r>
      </text>
    </comment>
  </commentList>
</comments>
</file>

<file path=xl/comments2.xml><?xml version="1.0" encoding="utf-8"?>
<comments xmlns="http://schemas.openxmlformats.org/spreadsheetml/2006/main">
  <authors>
    <author>soft</author>
  </authors>
  <commentList>
    <comment ref="G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6500 احمد
6500 بكر</t>
        </r>
      </text>
    </comment>
    <comment ref="N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حساب احمد
</t>
        </r>
      </text>
    </comment>
    <comment ref="P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كيا باجيكترات وكلندر</t>
        </r>
      </text>
    </comment>
    <comment ref="Q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جمرك c amg</t>
        </r>
      </text>
    </comment>
    <comment ref="R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بكر</t>
        </r>
      </text>
    </comment>
    <comment ref="S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شيروكي</t>
        </r>
      </text>
    </comment>
    <comment ref="T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سلفة من كابو</t>
        </r>
      </text>
    </comment>
    <comment ref="U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بدل سلفة ل قاسم
تصليح الروغ</t>
        </r>
      </text>
    </comment>
    <comment ref="V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كفاية الروغ مع سطحة</t>
        </r>
      </text>
    </comment>
    <comment ref="W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مبيع فضة</t>
        </r>
      </text>
    </comment>
    <comment ref="X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كبل سنسر
صهيب</t>
        </r>
      </text>
    </comment>
    <comment ref="Y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ابو حليمة</t>
        </r>
      </text>
    </comment>
    <comment ref="Z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بكر تركيا</t>
        </r>
      </text>
    </comment>
    <comment ref="AA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كابو</t>
        </r>
      </text>
    </comment>
    <comment ref="AB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شيروكي و روفر</t>
        </r>
      </text>
    </comment>
    <comment ref="AC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صهيب</t>
        </r>
      </text>
    </comment>
    <comment ref="AD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حداد الروفر</t>
        </r>
      </text>
    </comment>
    <comment ref="AE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كف ميني كوبر</t>
        </r>
      </text>
    </comment>
    <comment ref="AF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+كيا
لمبات</t>
        </r>
      </text>
    </comment>
    <comment ref="AG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سطحة مرسيدس
</t>
        </r>
      </text>
    </comment>
    <comment ref="AH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دهان شيروكي</t>
        </r>
      </text>
    </comment>
    <comment ref="AI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riad mini cooper</t>
        </r>
      </text>
    </comment>
    <comment ref="AJ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من جمعية احمد وبكر</t>
        </r>
      </text>
    </comment>
    <comment ref="AK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خسارة قديمة رنج 2018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شامي</t>
        </r>
      </text>
    </comment>
    <comment ref="AM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ميني كوبر دعسات و كبس نمر</t>
        </r>
      </text>
    </comment>
    <comment ref="AN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دهان ميني كوبر</t>
        </r>
      </text>
    </comment>
    <comment ref="AO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الفوك صهيب</t>
        </r>
      </text>
    </comment>
    <comment ref="AP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الكيا صهيب</t>
        </r>
      </text>
    </comment>
    <comment ref="AQ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الفوك حداد</t>
        </r>
      </text>
    </comment>
    <comment ref="AR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كهربا لمبات و مارش شيروكي</t>
        </r>
      </text>
    </comment>
    <comment ref="AS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مروحة ميني كوبر</t>
        </r>
      </text>
    </comment>
    <comment ref="AT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طرمبة زيت ميني كوبر</t>
        </r>
      </text>
    </comment>
    <comment ref="AU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شيروكي تنظيف+بنزين</t>
        </r>
      </text>
    </comment>
    <comment ref="AV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اغراض روفر طرمبة بنزين مردات وحل</t>
        </r>
      </text>
    </comment>
    <comment ref="AW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الى عبدالله 4000 الباقي تم اكماله من الجمعية</t>
        </r>
      </text>
    </comment>
    <comment ref="AX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AMG حداد</t>
        </r>
      </text>
    </comment>
    <comment ref="AY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كيا كف+ميزان</t>
        </r>
      </text>
    </comment>
    <comment ref="AZ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من الجمعية
</t>
        </r>
      </text>
    </comment>
    <comment ref="BA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روفر ميزان+شيسي+بيضات</t>
        </r>
      </text>
    </comment>
    <comment ref="BB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سي+كيا</t>
        </r>
      </text>
    </comment>
    <comment ref="BD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صهيب</t>
        </r>
      </text>
    </comment>
    <comment ref="BE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مبيع يورو
1950</t>
        </r>
      </text>
    </comment>
    <comment ref="BF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مبيع اليورو</t>
        </r>
      </text>
    </comment>
    <comment ref="BG2" authorId="0" shapeId="0">
      <text>
        <r>
          <rPr>
            <b/>
            <sz val="9"/>
            <color indexed="81"/>
            <rFont val="Tahoma"/>
            <family val="2"/>
          </rPr>
          <t>soft:
B</t>
        </r>
      </text>
    </comment>
    <comment ref="BH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rover v8</t>
        </r>
      </text>
    </comment>
    <comment ref="BI2" authorId="0" shapeId="0">
      <text>
        <r>
          <rPr>
            <b/>
            <sz val="9"/>
            <color indexed="81"/>
            <rFont val="Tahoma"/>
            <family val="2"/>
          </rPr>
          <t>soft:
kia</t>
        </r>
      </text>
    </comment>
    <comment ref="BJ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AMG رادياتير</t>
        </r>
      </text>
    </comment>
    <comment ref="BK2" authorId="0" shapeId="0">
      <text>
        <r>
          <rPr>
            <b/>
            <sz val="9"/>
            <color indexed="81"/>
            <rFont val="Tahoma"/>
            <family val="2"/>
          </rPr>
          <t>soft:فرق الجاكوار على الروغ</t>
        </r>
      </text>
    </comment>
    <comment ref="BL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خوليو</t>
        </r>
      </text>
    </comment>
    <comment ref="BM2" authorId="0" shapeId="0">
      <text>
        <r>
          <rPr>
            <b/>
            <sz val="9"/>
            <color indexed="81"/>
            <rFont val="Tahoma"/>
            <family val="2"/>
          </rPr>
          <t>sofاحمد سرور  قطع فوغ دين</t>
        </r>
      </text>
    </comment>
    <comment ref="BN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جت سكي</t>
        </r>
      </text>
    </comment>
    <comment ref="BO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احمد و بكر</t>
        </r>
      </text>
    </comment>
    <comment ref="BP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احمد و بكر</t>
        </r>
      </text>
    </comment>
    <comment ref="BQ2" authorId="0" shapeId="0">
      <text>
        <r>
          <rPr>
            <b/>
            <sz val="9"/>
            <color indexed="81"/>
            <rFont val="Tahoma"/>
            <family val="2"/>
          </rPr>
          <t>نبيل رعد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فادي عوض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v8 بواب و بانوراميك</t>
        </r>
      </text>
    </comment>
    <comment ref="BT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كابو كماللة 2000
</t>
        </r>
      </text>
    </comment>
    <comment ref="BU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جمعية احمد وبكر
</t>
        </r>
      </text>
    </comment>
    <comment ref="BV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من رصيد احمد و بكر بعد دفع 1000 يحيى و 500روفر</t>
        </r>
      </text>
    </comment>
    <comment ref="BW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عدولا ميني كوبر</t>
        </r>
      </text>
    </comment>
    <comment ref="BX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تسكير حساب عبدالله
</t>
        </r>
      </text>
    </comment>
    <comment ref="BY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حساب كابو</t>
        </r>
      </text>
    </comment>
    <comment ref="BZ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خالد دقاق</t>
        </r>
      </text>
    </comment>
    <comment ref="CA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خوليو</t>
        </r>
      </text>
    </comment>
    <comment ref="CB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ابو حسين</t>
        </r>
      </text>
    </comment>
    <comment ref="CC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الدهان روغ 18</t>
        </r>
      </text>
    </comment>
    <comment ref="CD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ارماس موتير c AMG</t>
        </r>
      </text>
    </comment>
    <comment ref="CE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من ثمن قطع احمد عباس c AMG</t>
        </r>
      </text>
    </comment>
    <comment ref="CF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ابو يعقوب
</t>
        </r>
      </text>
    </comment>
    <comment ref="CG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كلاس رنج</t>
        </r>
      </text>
    </comment>
    <comment ref="CH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نادر حجازي
</t>
        </r>
      </text>
    </comment>
    <comment ref="CI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روفر ديبو وغراض و حداد</t>
        </r>
      </text>
    </comment>
    <comment ref="F17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باجتيرات وكلندر</t>
        </r>
      </text>
    </comment>
    <comment ref="G17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زجاج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بطارية</t>
        </r>
      </text>
    </comment>
    <comment ref="I17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تلحيم مواسير</t>
        </r>
      </text>
    </comment>
    <comment ref="K17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لمبات</t>
        </r>
      </text>
    </comment>
    <comment ref="M17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صهيب</t>
        </r>
      </text>
    </comment>
    <comment ref="N17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برمجة كف +ميزان</t>
        </r>
      </text>
    </comment>
    <comment ref="F18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جنط
ايرباك
مردة وحل</t>
        </r>
      </text>
    </comment>
    <comment ref="G18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فرش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جوارير</t>
        </r>
      </text>
    </comment>
    <comment ref="I18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برمجة ضو</t>
        </r>
      </text>
    </comment>
    <comment ref="J18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كف شاشة</t>
        </r>
      </text>
    </comment>
    <comment ref="K18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طقم دواليب</t>
        </r>
      </text>
    </comment>
    <comment ref="L18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الدهان</t>
        </r>
      </text>
    </comment>
    <comment ref="N18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كهربا مارش لمبات</t>
        </r>
      </text>
    </comment>
    <comment ref="O18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تنظيف و بنزين</t>
        </r>
      </text>
    </comment>
    <comment ref="P18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بيع</t>
        </r>
      </text>
    </comment>
    <comment ref="F19" authorId="0" shapeId="0">
      <text>
        <r>
          <rPr>
            <b/>
            <sz val="9"/>
            <color indexed="81"/>
            <rFont val="Tahoma"/>
            <family val="2"/>
          </rPr>
          <t>soft:جمرك</t>
        </r>
      </text>
    </comment>
    <comment ref="G19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سطحة</t>
        </r>
      </text>
    </comment>
    <comment ref="H19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الحداد</t>
        </r>
      </text>
    </comment>
    <comment ref="I19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ترافيرس و قصة</t>
        </r>
      </text>
    </comment>
    <comment ref="J19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رادياتيرات</t>
        </r>
      </text>
    </comment>
    <comment ref="K19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ارماس موتير</t>
        </r>
      </text>
    </comment>
    <comment ref="L19" authorId="0" shapeId="0">
      <text>
        <r>
          <rPr>
            <b/>
            <sz val="9"/>
            <color indexed="81"/>
            <rFont val="Tahoma"/>
            <family val="2"/>
          </rPr>
          <t>soft:احمد عباس من ثمن قطع</t>
        </r>
      </text>
    </comment>
    <comment ref="F20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تصليح ضو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كبل سنسر</t>
        </r>
      </text>
    </comment>
    <comment ref="H20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حداد</t>
        </r>
      </text>
    </comment>
    <comment ref="J20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دهان</t>
        </r>
      </text>
    </comment>
    <comment ref="K20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الحداد</t>
        </r>
      </text>
    </comment>
    <comment ref="L20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طرمبة + مرد وحل </t>
        </r>
      </text>
    </comment>
    <comment ref="M20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غسيل القلب</t>
        </r>
      </text>
    </comment>
    <comment ref="N20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بنزين + مرد واحل ثانية</t>
        </r>
      </text>
    </comment>
    <comment ref="O20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ميزان+شيسي+بيضات</t>
        </r>
      </text>
    </comment>
    <comment ref="P20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احمد سرور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خسارة قديمة رنج 2018</t>
        </r>
      </text>
    </comment>
    <comment ref="F24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جمعية لنا</t>
        </r>
      </text>
    </comment>
    <comment ref="G24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جمعية احمد و بكر
</t>
        </r>
      </text>
    </comment>
    <comment ref="G28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خسارة قديمة رنج 2018</t>
        </r>
      </text>
    </comment>
    <comment ref="H28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جمرك</t>
        </r>
      </text>
    </comment>
    <comment ref="I28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بواب+بانوراميك</t>
        </r>
      </text>
    </comment>
    <comment ref="J28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دفعه بواب و بانوراميك</t>
        </r>
      </text>
    </comment>
    <comment ref="K28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ديبو و غراض</t>
        </r>
      </text>
    </comment>
    <comment ref="L28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حداد</t>
        </r>
      </text>
    </comment>
    <comment ref="G29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كف</t>
        </r>
      </text>
    </comment>
    <comment ref="H29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riad</t>
        </r>
      </text>
    </comment>
    <comment ref="J29" authorId="0" shapeId="0">
      <text>
        <r>
          <rPr>
            <b/>
            <sz val="9"/>
            <color indexed="81"/>
            <rFont val="Tahoma"/>
            <family val="2"/>
          </rPr>
          <t xml:space="preserve">soكبسات نمر + دعسات
</t>
        </r>
      </text>
    </comment>
    <comment ref="K29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تسكير حساب دهان</t>
        </r>
      </text>
    </comment>
    <comment ref="L29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مروحة</t>
        </r>
      </text>
    </comment>
    <comment ref="M29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طرمبة زيت</t>
        </r>
      </text>
    </comment>
    <comment ref="N29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عدولا مكانيسان</t>
        </r>
      </text>
    </comment>
    <comment ref="H3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تركيا</t>
        </r>
      </text>
    </comment>
    <comment ref="F34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اغراض</t>
        </r>
      </text>
    </comment>
    <comment ref="F35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الدهان</t>
        </r>
      </text>
    </comment>
  </commentList>
</comments>
</file>

<file path=xl/comments3.xml><?xml version="1.0" encoding="utf-8"?>
<comments xmlns="http://schemas.openxmlformats.org/spreadsheetml/2006/main">
  <authors>
    <author>soft</author>
  </authors>
  <commentList>
    <comment ref="I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بريك براك</t>
        </r>
      </text>
    </comment>
    <comment ref="K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جمعية</t>
        </r>
      </text>
    </comment>
    <comment ref="L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سبيرو</t>
        </r>
      </text>
    </comment>
    <comment ref="E3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دفعه بيد احمد 11/12/2025</t>
        </r>
      </text>
    </comment>
    <comment ref="F5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جمعية</t>
        </r>
      </text>
    </comment>
    <comment ref="G5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سبيرو</t>
        </r>
      </text>
    </comment>
    <comment ref="E6" authorId="0" shapeId="0">
      <text>
        <r>
          <rPr>
            <b/>
            <sz val="9"/>
            <color indexed="81"/>
            <rFont val="Tahoma"/>
            <family val="2"/>
          </rPr>
          <t>من الجمعية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4400 يورو شحن</t>
        </r>
      </text>
    </comment>
    <comment ref="E1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1/5/2026</t>
        </r>
      </text>
    </comment>
    <comment ref="E14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شيروكي+كيا+روغ</t>
        </r>
      </text>
    </comment>
  </commentList>
</comments>
</file>

<file path=xl/comments4.xml><?xml version="1.0" encoding="utf-8"?>
<comments xmlns="http://schemas.openxmlformats.org/spreadsheetml/2006/main">
  <authors>
    <author>soft</author>
  </authors>
  <commentList>
    <comment ref="E7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16/2/2026</t>
        </r>
      </text>
    </comment>
    <comment ref="D9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25/2/2026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مربح سيارة مرسيدس</t>
        </r>
      </text>
    </comment>
    <comment ref="F11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جمعية</t>
        </r>
      </text>
    </comment>
    <comment ref="G11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من نادر</t>
        </r>
      </text>
    </comment>
    <comment ref="H11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جمعية سبيرو</t>
        </r>
      </text>
    </comment>
    <comment ref="I11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سحب 9/3/226
قبل العيد</t>
        </r>
      </text>
    </comment>
    <comment ref="J11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الغريب</t>
        </r>
      </text>
    </comment>
    <comment ref="K11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عبدالله</t>
        </r>
      </text>
    </comment>
    <comment ref="L11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نقل الى رصيد ب كابو</t>
        </r>
      </text>
    </comment>
    <comment ref="M11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soft:
من فرق رنج الخال نقل ب رصيد ب كابو </t>
        </r>
      </text>
    </comment>
    <comment ref="N11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من حساب يحيى كلاس بريك براك سيارة هيونداي</t>
        </r>
      </text>
    </comment>
    <comment ref="O11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نقل الى رصيد كابو من هيونادي كلاس</t>
        </r>
      </text>
    </comment>
    <comment ref="D13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مربح سيارة مرسيدس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سحب</t>
        </r>
      </text>
    </comment>
    <comment ref="F13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جمعية</t>
        </r>
      </text>
    </comment>
    <comment ref="G13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من نادر</t>
        </r>
      </text>
    </comment>
    <comment ref="H13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مصطفى باقي 25 خاص</t>
        </r>
      </text>
    </comment>
    <comment ref="I13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من جمعية سبيرو</t>
        </r>
      </text>
    </comment>
    <comment ref="J13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الغريب</t>
        </r>
      </text>
    </comment>
    <comment ref="K13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عبدالله</t>
        </r>
      </text>
    </comment>
    <comment ref="L13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نقل الى رصيد ب كابو</t>
        </r>
      </text>
    </comment>
    <comment ref="M13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من فرق رنج الخال نقل ب رصيد ب كابو </t>
        </r>
      </text>
    </comment>
    <comment ref="N13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soft:
من حساب يحيى كلاس بريك براك سيارة هيونداي</t>
        </r>
      </text>
    </comment>
    <comment ref="O13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soft:
نقل الى رصيد كابو من هيونادي كلاس</t>
        </r>
      </text>
    </comment>
    <comment ref="D15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سيارة مرسيدس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</rPr>
          <t>soft:دفعه</t>
        </r>
      </text>
    </comment>
    <comment ref="G15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بيد كلاس</t>
        </r>
      </text>
    </comment>
    <comment ref="E19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3/3/2026
</t>
        </r>
      </text>
    </comment>
    <comment ref="D21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12/3/2026</t>
        </r>
      </text>
    </comment>
  </commentList>
</comments>
</file>

<file path=xl/comments5.xml><?xml version="1.0" encoding="utf-8"?>
<comments xmlns="http://schemas.openxmlformats.org/spreadsheetml/2006/main">
  <authors>
    <author>soft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روغ 2021
اضوية
طبونة كاملة
رفراف  اشارة
كلندر
باجكتير</t>
        </r>
      </text>
    </comment>
    <comment ref="E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كابو ثمن العاب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مربح مرسيدس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وليد كعكة
8500+21500
</t>
        </r>
      </text>
    </comment>
    <comment ref="H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نقليات
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سحب احمد من ارباحه</t>
        </r>
      </text>
    </comment>
    <comment ref="J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بيد صهيب روغ21</t>
        </r>
      </text>
    </comment>
    <comment ref="K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وليد كعكة</t>
        </r>
      </text>
    </comment>
    <comment ref="L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جت سكي</t>
        </r>
      </text>
    </comment>
    <comment ref="M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خوليو</t>
        </r>
      </text>
    </comment>
    <comment ref="N2" authorId="0" shapeId="0">
      <text>
        <r>
          <rPr>
            <b/>
            <sz val="9"/>
            <color indexed="81"/>
            <rFont val="Tahoma"/>
          </rPr>
          <t>soft:Amg</t>
        </r>
      </text>
    </comment>
    <comment ref="O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خضر مهنا</t>
        </r>
      </text>
    </comment>
    <comment ref="P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جمعية بكر و احمد</t>
        </r>
      </text>
    </comment>
    <comment ref="Q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عبدالله دفعه من 18000
</t>
        </r>
      </text>
    </comment>
    <comment ref="R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وائل</t>
        </r>
      </text>
    </comment>
    <comment ref="S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دفعه يحيى رنج</t>
        </r>
      </text>
    </comment>
    <comment ref="T2" authorId="0" shapeId="0">
      <text>
        <r>
          <rPr>
            <b/>
            <sz val="9"/>
            <color indexed="81"/>
            <rFont val="Tahoma"/>
          </rPr>
          <t>soft:ابو يعقوب</t>
        </r>
      </text>
    </comment>
    <comment ref="U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rog18
</t>
        </r>
      </text>
    </comment>
    <comment ref="V2" authorId="0" shapeId="0">
      <text>
        <r>
          <rPr>
            <b/>
            <sz val="9"/>
            <color indexed="81"/>
            <rFont val="Tahoma"/>
          </rPr>
          <t>يحيى كلاس رنج</t>
        </r>
      </text>
    </comment>
    <comment ref="W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وليد كعكة بيد كلاس</t>
        </r>
      </text>
    </comment>
    <comment ref="X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تصليح موتير روفر</t>
        </r>
      </text>
    </comment>
    <comment ref="Y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دفعه رنج روغ كحلي</t>
        </r>
      </text>
    </comment>
    <comment ref="Z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من ابو سعيد
</t>
        </r>
      </text>
    </comment>
    <comment ref="AA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rog v8
</t>
        </r>
      </text>
    </comment>
    <comment ref="AB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عبدالرحمن صفاوي</t>
        </r>
      </text>
    </comment>
    <comment ref="AC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شيركي دفعه ابيض</t>
        </r>
      </text>
    </comment>
    <comment ref="AD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سبيرو</t>
        </r>
      </text>
    </comment>
    <comment ref="AE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نادر</t>
        </r>
      </text>
    </comment>
    <comment ref="AF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صفاوي</t>
        </r>
      </text>
    </comment>
    <comment ref="AG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احمج و بكر</t>
        </r>
      </text>
    </comment>
    <comment ref="AH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احمد ل مصطفى</t>
        </r>
      </text>
    </comment>
    <comment ref="AI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احمد وبكر من روغ كحلي</t>
        </r>
      </text>
    </comment>
    <comment ref="AJ2" authorId="0" shapeId="0">
      <text>
        <r>
          <rPr>
            <b/>
            <sz val="9"/>
            <color indexed="81"/>
            <rFont val="Tahoma"/>
          </rPr>
          <t xml:space="preserve">خوليو
14/2/2026
</t>
        </r>
      </text>
    </comment>
    <comment ref="AK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قطب 14/2/2026
</t>
        </r>
      </text>
    </comment>
    <comment ref="AL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رامي رعد</t>
        </r>
      </text>
    </comment>
    <comment ref="AM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صهيب
</t>
        </r>
      </text>
    </comment>
    <comment ref="AN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شيروكي بترولي
</t>
        </r>
      </text>
    </comment>
    <comment ref="AO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v8 تصليح موتير</t>
        </r>
      </text>
    </comment>
    <comment ref="AP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عبدالله 16/2/2026</t>
        </r>
      </text>
    </comment>
    <comment ref="AQ2" authorId="0" shapeId="0">
      <text>
        <r>
          <rPr>
            <b/>
            <sz val="9"/>
            <color indexed="81"/>
            <rFont val="Tahoma"/>
          </rPr>
          <t>soft:بكر و احمد العاب</t>
        </r>
      </text>
    </comment>
    <comment ref="AR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وليد كعكة</t>
        </r>
      </text>
    </comment>
    <comment ref="AS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احمد وليد كعكة</t>
        </r>
      </text>
    </comment>
    <comment ref="AT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شيروكي ابيض</t>
        </r>
      </text>
    </comment>
    <comment ref="AU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جمال ايوبي 12000
</t>
        </r>
      </text>
    </comment>
    <comment ref="AV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احمد الشامي</t>
        </r>
      </text>
    </comment>
    <comment ref="AW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جت سكي</t>
        </r>
      </text>
    </comment>
    <comment ref="AX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سي حداد</t>
        </r>
      </text>
    </comment>
    <comment ref="AY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روغ 21 حداد</t>
        </r>
      </text>
    </comment>
    <comment ref="AZ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فوغ دهان</t>
        </r>
      </text>
    </comment>
    <comment ref="BA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عبدالله سبيرو</t>
        </r>
      </text>
    </comment>
    <comment ref="BB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مهنى دفعه 28/2/2026</t>
        </r>
      </text>
    </comment>
    <comment ref="BC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هوندا</t>
        </r>
      </text>
    </comment>
    <comment ref="BD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دفعه هيونداي</t>
        </r>
      </text>
    </comment>
    <comment ref="BE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يحيى رنج 5/3/2026
</t>
        </r>
      </text>
    </comment>
    <comment ref="BF2" authorId="0" shapeId="0">
      <text>
        <r>
          <rPr>
            <b/>
            <sz val="9"/>
            <color indexed="81"/>
            <rFont val="Tahoma"/>
          </rPr>
          <t>vok v8 
قزاز سطحة بنزين</t>
        </r>
      </text>
    </comment>
    <comment ref="BG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وائل</t>
        </r>
      </text>
    </comment>
    <comment ref="BH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سمير شعبان</t>
        </r>
      </text>
    </comment>
    <comment ref="BI2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مفتاحين روفر</t>
        </r>
      </text>
    </comment>
    <comment ref="BJ2" authorId="0" shapeId="0">
      <text>
        <r>
          <rPr>
            <b/>
            <sz val="9"/>
            <color indexed="81"/>
            <rFont val="Tahoma"/>
          </rPr>
          <t>نقدي العاب</t>
        </r>
      </text>
    </comment>
    <comment ref="BK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مرى هيونداي</t>
        </r>
      </text>
    </comment>
    <comment ref="BL2" authorId="0" shapeId="0">
      <text>
        <r>
          <rPr>
            <b/>
            <sz val="9"/>
            <color indexed="81"/>
            <rFont val="Tahoma"/>
          </rPr>
          <t xml:space="preserve">softسبيرو
</t>
        </r>
      </text>
    </comment>
    <comment ref="BM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كمالة جمعية سبيرو احمد وبكر</t>
        </r>
      </text>
    </comment>
    <comment ref="BN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عبدالله</t>
        </r>
      </text>
    </comment>
    <comment ref="BO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بكر
</t>
        </r>
      </text>
    </comment>
    <comment ref="BP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عامر</t>
        </r>
      </text>
    </comment>
    <comment ref="BQ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بنزين روفر بيد ابو علي 16/3/2026</t>
        </r>
      </text>
    </comment>
    <comment ref="BR2" authorId="0" shapeId="0">
      <text>
        <r>
          <rPr>
            <b/>
            <sz val="9"/>
            <color indexed="81"/>
            <rFont val="Tahoma"/>
            <charset val="1"/>
          </rPr>
          <t>soft:</t>
        </r>
        <r>
          <rPr>
            <sz val="9"/>
            <color indexed="81"/>
            <rFont val="Tahoma"/>
            <charset val="1"/>
          </rPr>
          <t xml:space="preserve">
فوك سنسر 60
قضيبين 50</t>
        </r>
      </text>
    </comment>
    <comment ref="BS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جمال قاسم دفعه
19/3/2026
</t>
        </r>
      </text>
    </comment>
    <comment ref="BT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خضر مهنا 17/3/2026
</t>
        </r>
      </text>
    </comment>
    <comment ref="BU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روفر 200 حداد
50 فراش
250 قطع
100 مكنسيان
</t>
        </r>
      </text>
    </comment>
    <comment ref="BV2" authorId="0" shapeId="0">
      <text>
        <r>
          <rPr>
            <sz val="9"/>
            <color indexed="81"/>
            <rFont val="Tahoma"/>
          </rPr>
          <t>روفر 20 بنزين
10 اجار طاقة روفر</t>
        </r>
      </text>
    </comment>
    <comment ref="BW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الغريب و مرسيدس</t>
        </r>
      </text>
    </comment>
    <comment ref="BX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عبدالمجيد قطب  12/3/2026</t>
        </r>
      </text>
    </comment>
    <comment ref="BY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جمال ايوبي تسكير حساب 12/3/2026
</t>
        </r>
      </text>
    </comment>
    <comment ref="BZ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عل احمد من جمال ايوبي</t>
        </r>
      </text>
    </comment>
    <comment ref="CA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اجار مستودع</t>
        </r>
      </text>
    </comment>
    <comment ref="CB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شراء ذهب</t>
        </r>
      </text>
    </comment>
    <comment ref="CC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الى كابو ب رصيد احمد و بكر</t>
        </r>
      </text>
    </comment>
    <comment ref="CD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نقل حساب الخال ل كابو فرق الرانج</t>
        </r>
      </text>
    </comment>
    <comment ref="CE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soft:
نقل حساب الخال ل كابو فرق الرانج ب رصيد احمد و بكر</t>
        </r>
      </text>
    </comment>
    <comment ref="CF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من هيونداي يحيى كلاس</t>
        </r>
      </text>
    </comment>
    <comment ref="CG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نقل من رصيد سيارات الى رصيد كابو احمد و بكر</t>
        </r>
      </text>
    </comment>
    <comment ref="CH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شكري</t>
        </r>
      </text>
    </comment>
    <comment ref="CI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ابو سعيد 7100 بدل 7000</t>
        </r>
      </text>
    </comment>
    <comment ref="CJ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تصفية كابو له</t>
        </r>
      </text>
    </comment>
    <comment ref="CK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بوب</t>
        </r>
      </text>
    </comment>
    <comment ref="E3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حداد</t>
        </r>
      </text>
    </comment>
    <comment ref="F3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قطع واجهة</t>
        </r>
      </text>
    </comment>
    <comment ref="D6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من الميني كوبر
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soft:
روغ 2021
اضوية
طبونة كاملة
رفراف  اشارة
كلندر
باجكتير</t>
        </r>
      </text>
    </comment>
    <comment ref="E7" authorId="0" shapeId="0">
      <text>
        <r>
          <rPr>
            <b/>
            <sz val="9"/>
            <color indexed="81"/>
            <rFont val="Tahoma"/>
          </rPr>
          <t>بيد صهيب</t>
        </r>
      </text>
    </comment>
    <comment ref="G7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حداد</t>
        </r>
      </text>
    </comment>
    <comment ref="D8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تصليح موتير</t>
        </r>
      </text>
    </comment>
    <comment ref="E8" authorId="0" shapeId="0">
      <text>
        <r>
          <rPr>
            <b/>
            <sz val="9"/>
            <color indexed="81"/>
            <rFont val="Tahoma"/>
          </rPr>
          <t xml:space="preserve">soft:صهيب
</t>
        </r>
      </text>
    </comment>
    <comment ref="F8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تصليح موتير</t>
        </r>
      </text>
    </comment>
    <comment ref="G8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دهان</t>
        </r>
      </text>
    </comment>
    <comment ref="H8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سطحة قزاز بنزين</t>
        </r>
      </text>
    </comment>
    <comment ref="I8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مفتاحين</t>
        </r>
      </text>
    </comment>
    <comment ref="J8" authorId="0" shapeId="0">
      <text>
        <r>
          <rPr>
            <b/>
            <sz val="9"/>
            <color indexed="81"/>
            <rFont val="Tahoma"/>
          </rPr>
          <t>soft:بنزين 16/3/2026
بيد اب علي</t>
        </r>
      </text>
    </comment>
    <comment ref="K8" authorId="0" shapeId="0">
      <text>
        <r>
          <rPr>
            <b/>
            <sz val="9"/>
            <color indexed="81"/>
            <rFont val="Tahoma"/>
            <charset val="1"/>
          </rPr>
          <t>soft:</t>
        </r>
        <r>
          <rPr>
            <sz val="9"/>
            <color indexed="81"/>
            <rFont val="Tahoma"/>
            <charset val="1"/>
          </rPr>
          <t xml:space="preserve">
سنسر + قضيبين
</t>
        </r>
      </text>
    </comment>
    <comment ref="L8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soft:
روفر 200 حداد
50 فراش
250 قطع
100 مكنسيان</t>
        </r>
      </text>
    </comment>
    <comment ref="M8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بنزين 20
10 طاقة</t>
        </r>
      </text>
    </comment>
    <comment ref="D20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جمعية</t>
        </r>
      </text>
    </comment>
    <comment ref="E20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جمعية</t>
        </r>
      </text>
    </comment>
    <comment ref="D21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روغ 2021 كحلي
9 السب 14/2/2025
والباقي اول شهر 5</t>
        </r>
      </text>
    </comment>
    <comment ref="F21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12/3/2026</t>
        </r>
      </text>
    </comment>
    <comment ref="D25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من جمال ايوبي</t>
        </r>
      </text>
    </comment>
    <comment ref="E25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جمال ايوبي</t>
        </r>
      </text>
    </comment>
    <comment ref="D26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بيعت</t>
        </r>
      </text>
    </comment>
    <comment ref="D29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من هيونداي</t>
        </r>
      </text>
    </comment>
    <comment ref="B30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21500 سيارة مرسيدس
7300 وليد كعكة
</t>
        </r>
      </text>
    </comment>
    <comment ref="G30" authorId="0" shapeId="0">
      <text>
        <r>
          <rPr>
            <b/>
            <sz val="9"/>
            <color indexed="81"/>
            <rFont val="Tahoma"/>
            <family val="2"/>
          </rPr>
          <t>soft:</t>
        </r>
        <r>
          <rPr>
            <sz val="9"/>
            <color indexed="81"/>
            <rFont val="Tahoma"/>
            <family val="2"/>
          </rPr>
          <t xml:space="preserve">
نقليات</t>
        </r>
      </text>
    </comment>
    <comment ref="F31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18/3/2026
</t>
        </r>
      </text>
    </comment>
    <comment ref="B32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من دهان ميني كوبر</t>
        </r>
      </text>
    </comment>
    <comment ref="B33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من الميني كوبر اجار سيارة
ابو ربيع</t>
        </r>
      </text>
    </comment>
    <comment ref="B34" authorId="0" shapeId="0">
      <text>
        <r>
          <rPr>
            <b/>
            <sz val="9"/>
            <color indexed="81"/>
            <rFont val="Tahoma"/>
          </rPr>
          <t>soft:</t>
        </r>
        <r>
          <rPr>
            <sz val="9"/>
            <color indexed="81"/>
            <rFont val="Tahoma"/>
          </rPr>
          <t xml:space="preserve">
خسارة الميني كوبر</t>
        </r>
      </text>
    </comment>
    <comment ref="C44" authorId="0" shapeId="0">
      <text>
        <r>
          <rPr>
            <b/>
            <sz val="9"/>
            <color indexed="81"/>
            <rFont val="Tahoma"/>
          </rPr>
          <t xml:space="preserve">softقرضة سعد </t>
        </r>
      </text>
    </comment>
  </commentList>
</comments>
</file>

<file path=xl/sharedStrings.xml><?xml version="1.0" encoding="utf-8"?>
<sst xmlns="http://schemas.openxmlformats.org/spreadsheetml/2006/main" count="422" uniqueCount="93">
  <si>
    <t>مصلحة</t>
  </si>
  <si>
    <t>ابو احمد</t>
  </si>
  <si>
    <t>الخال</t>
  </si>
  <si>
    <t>قاسم</t>
  </si>
  <si>
    <t>ابو حسين</t>
  </si>
  <si>
    <t>دقاق</t>
  </si>
  <si>
    <t>وليد</t>
  </si>
  <si>
    <t>رقم</t>
  </si>
  <si>
    <t>كيا</t>
  </si>
  <si>
    <t>شيروكي</t>
  </si>
  <si>
    <t>rover</t>
  </si>
  <si>
    <t>جنط فرش</t>
  </si>
  <si>
    <t>عبيدة</t>
  </si>
  <si>
    <t>نبيل</t>
  </si>
  <si>
    <t>فضة</t>
  </si>
  <si>
    <t>نقدي</t>
  </si>
  <si>
    <t>مصطفى</t>
  </si>
  <si>
    <t>عبدالله</t>
  </si>
  <si>
    <t>بكر</t>
  </si>
  <si>
    <t>صهيب</t>
  </si>
  <si>
    <t>يحي كلاس</t>
  </si>
  <si>
    <t>يحي رنج</t>
  </si>
  <si>
    <t>C AMG</t>
  </si>
  <si>
    <t>rogg 2017</t>
  </si>
  <si>
    <t>rogg 2021</t>
  </si>
  <si>
    <t>ابو حليمة</t>
  </si>
  <si>
    <t>جات سكي</t>
  </si>
  <si>
    <t xml:space="preserve">غرفة تجارة </t>
  </si>
  <si>
    <t>عماد</t>
  </si>
  <si>
    <t xml:space="preserve">ابو يعقوب </t>
  </si>
  <si>
    <t>rover2017 v8</t>
  </si>
  <si>
    <t>mini cooper2018</t>
  </si>
  <si>
    <t xml:space="preserve">بضاعة بريك براك </t>
  </si>
  <si>
    <t xml:space="preserve">احمد </t>
  </si>
  <si>
    <t xml:space="preserve">ابو كريم </t>
  </si>
  <si>
    <t xml:space="preserve">بوب </t>
  </si>
  <si>
    <t xml:space="preserve">يحي كلاس </t>
  </si>
  <si>
    <t>عامر</t>
  </si>
  <si>
    <t xml:space="preserve">ابو حسين </t>
  </si>
  <si>
    <t xml:space="preserve">صهيب </t>
  </si>
  <si>
    <t>كابو</t>
  </si>
  <si>
    <t>قاسم له rogg</t>
  </si>
  <si>
    <t>أشرف</t>
  </si>
  <si>
    <t>شامي</t>
  </si>
  <si>
    <t>احمد</t>
  </si>
  <si>
    <t>اسم الحساب</t>
  </si>
  <si>
    <t>رصيد سابق</t>
  </si>
  <si>
    <t>رصيد حالي</t>
  </si>
  <si>
    <t>$</t>
  </si>
  <si>
    <t>Euro in $</t>
  </si>
  <si>
    <t>MVT</t>
  </si>
  <si>
    <t>Total</t>
  </si>
  <si>
    <t>TOTAL</t>
  </si>
  <si>
    <t>اغراض روفر</t>
  </si>
  <si>
    <t>عبدالله سبيرو</t>
  </si>
  <si>
    <t xml:space="preserve">نبيل رعد </t>
  </si>
  <si>
    <t>فادي عوض</t>
  </si>
  <si>
    <t>نادر حجازي</t>
  </si>
  <si>
    <t>عبدالمجيد قطب</t>
  </si>
  <si>
    <t>rog 18</t>
  </si>
  <si>
    <t>capo</t>
  </si>
  <si>
    <t>خوليو</t>
  </si>
  <si>
    <t>مربح</t>
  </si>
  <si>
    <t>قطب</t>
  </si>
  <si>
    <t>vog</t>
  </si>
  <si>
    <t>Mercedes</t>
  </si>
  <si>
    <t>ابو يعقوب</t>
  </si>
  <si>
    <t>مرسيدس بيضا</t>
  </si>
  <si>
    <t>قاسم خاص</t>
  </si>
  <si>
    <t>الرصيد السابق</t>
  </si>
  <si>
    <t>الرصيد الحالي</t>
  </si>
  <si>
    <t>العاب</t>
  </si>
  <si>
    <t>وليد كعكة</t>
  </si>
  <si>
    <t>خضر مهنا</t>
  </si>
  <si>
    <t>يوسف مطر</t>
  </si>
  <si>
    <t>وائل</t>
  </si>
  <si>
    <t>رنج روغ 2021 كحلي</t>
  </si>
  <si>
    <t>بوب طيبا</t>
  </si>
  <si>
    <t>ابو سعيد</t>
  </si>
  <si>
    <t>رامي رعد</t>
  </si>
  <si>
    <t>عبدالرحمن صفاوي</t>
  </si>
  <si>
    <t>شيروكي ابيض</t>
  </si>
  <si>
    <t>شيروكي بترولي</t>
  </si>
  <si>
    <t>سمير شعبان</t>
  </si>
  <si>
    <t>جمال ايوبي</t>
  </si>
  <si>
    <t>هوندا</t>
  </si>
  <si>
    <t>هيونداي</t>
  </si>
  <si>
    <t>شكري الشعار</t>
  </si>
  <si>
    <t>جمال قاسم</t>
  </si>
  <si>
    <t>مرى هيونداي</t>
  </si>
  <si>
    <t>ذهب</t>
  </si>
  <si>
    <t>ابو امير هيونداي</t>
  </si>
  <si>
    <t>رقم سيارة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</si>
</sst>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4">
    <xf numFmtId="0" fontId="0" fillId="0" borderId="0" xfId="0"/>
    <xf numFmtId="42" fontId="0" fillId="0" borderId="0" xfId="0" applyNumberFormat="1"/>
    <xf numFmtId="0" fontId="0" fillId="4" borderId="0" xfId="0" applyFill="1"/>
    <xf numFmtId="42" fontId="0" fillId="4" borderId="0" xfId="0" applyNumberFormat="1" applyFill="1"/>
    <xf numFmtId="42" fontId="2" fillId="2" borderId="0" xfId="1" applyNumberFormat="1" applyFont="1" applyFill="1" applyBorder="1"/>
    <xf numFmtId="42" fontId="0" fillId="3" borderId="0" xfId="1" applyNumberFormat="1" applyFont="1" applyFill="1" applyBorder="1"/>
    <xf numFmtId="0" fontId="0" fillId="5" borderId="0" xfId="0" applyFill="1"/>
    <xf numFmtId="42" fontId="0" fillId="5" borderId="0" xfId="0" applyNumberFormat="1" applyFill="1"/>
    <xf numFmtId="0" fontId="0" fillId="3" borderId="6" xfId="0" applyFill="1" applyBorder="1" applyAlignment="1"/>
    <xf numFmtId="0" fontId="0" fillId="0" borderId="6" xfId="0" applyBorder="1"/>
    <xf numFmtId="0" fontId="0" fillId="2" borderId="0" xfId="0" applyFill="1"/>
    <xf numFmtId="0" fontId="0" fillId="2" borderId="7" xfId="0" applyFill="1" applyBorder="1"/>
    <xf numFmtId="42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2" fontId="0" fillId="0" borderId="0" xfId="1" applyNumberFormat="1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2" fontId="0" fillId="0" borderId="0" xfId="1" applyNumberFormat="1" applyFont="1" applyAlignment="1">
      <alignment horizontal="center" vertical="center"/>
    </xf>
    <xf numFmtId="42" fontId="0" fillId="3" borderId="0" xfId="0" applyNumberForma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42" fontId="0" fillId="5" borderId="0" xfId="1" applyNumberFormat="1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2" fontId="0" fillId="0" borderId="0" xfId="1" applyNumberFormat="1" applyFont="1" applyBorder="1" applyAlignment="1">
      <alignment horizontal="center" vertical="center"/>
    </xf>
    <xf numFmtId="42" fontId="0" fillId="0" borderId="0" xfId="0" applyNumberForma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2" fontId="2" fillId="2" borderId="3" xfId="0" applyNumberFormat="1" applyFont="1" applyFill="1" applyBorder="1" applyAlignment="1">
      <alignment horizontal="center" vertical="center"/>
    </xf>
    <xf numFmtId="0" fontId="0" fillId="3" borderId="0" xfId="0" applyFill="1" applyBorder="1" applyAlignment="1"/>
    <xf numFmtId="0" fontId="0" fillId="0" borderId="0" xfId="0" applyBorder="1"/>
    <xf numFmtId="0" fontId="0" fillId="6" borderId="0" xfId="0" applyFill="1"/>
    <xf numFmtId="0" fontId="0" fillId="7" borderId="0" xfId="0" applyFill="1"/>
    <xf numFmtId="42" fontId="0" fillId="2" borderId="0" xfId="0" applyNumberFormat="1" applyFill="1"/>
    <xf numFmtId="0" fontId="0" fillId="3" borderId="0" xfId="0" applyFill="1"/>
    <xf numFmtId="0" fontId="0" fillId="3" borderId="0" xfId="0" applyFill="1" applyBorder="1"/>
    <xf numFmtId="0" fontId="5" fillId="8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0" fillId="0" borderId="7" xfId="0" applyBorder="1"/>
    <xf numFmtId="0" fontId="2" fillId="0" borderId="0" xfId="0" applyFont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6" fillId="2" borderId="0" xfId="0" applyFont="1" applyFill="1"/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J42"/>
  <sheetViews>
    <sheetView zoomScale="90" zoomScaleNormal="90" workbookViewId="0">
      <selection activeCell="D10" sqref="D10"/>
    </sheetView>
  </sheetViews>
  <sheetFormatPr defaultRowHeight="15" x14ac:dyDescent="0.25"/>
  <cols>
    <col min="5" max="5" width="14.7109375" customWidth="1"/>
    <col min="7" max="7" width="9.28515625" style="30"/>
    <col min="9" max="9" width="9.28515625" style="29"/>
    <col min="23" max="23" width="9.7109375" customWidth="1"/>
    <col min="24" max="24" width="10.7109375" customWidth="1"/>
    <col min="25" max="25" width="16.42578125" style="21" customWidth="1"/>
    <col min="26" max="26" width="14.42578125" style="21" customWidth="1"/>
    <col min="27" max="27" width="12.28515625" style="21" bestFit="1" customWidth="1"/>
    <col min="28" max="28" width="11.28515625" customWidth="1"/>
    <col min="29" max="29" width="13.28515625" customWidth="1"/>
    <col min="30" max="30" width="8.28515625" customWidth="1"/>
    <col min="31" max="31" width="6.42578125" customWidth="1"/>
    <col min="32" max="32" width="4.7109375" customWidth="1"/>
    <col min="33" max="34" width="5.28515625" customWidth="1"/>
    <col min="35" max="35" width="4.7109375" customWidth="1"/>
    <col min="36" max="36" width="5.7109375" customWidth="1"/>
    <col min="37" max="37" width="5.28515625" customWidth="1"/>
    <col min="38" max="38" width="6.28515625" customWidth="1"/>
    <col min="39" max="39" width="5" customWidth="1"/>
    <col min="40" max="40" width="6.42578125" style="32" customWidth="1"/>
    <col min="41" max="41" width="7.28515625" bestFit="1" customWidth="1"/>
    <col min="43" max="43" width="5.7109375" customWidth="1"/>
    <col min="44" max="44" width="6" customWidth="1"/>
    <col min="45" max="45" width="6.7109375" customWidth="1"/>
    <col min="46" max="46" width="6.42578125" customWidth="1"/>
    <col min="47" max="48" width="5.7109375" customWidth="1"/>
    <col min="49" max="49" width="6.28515625" customWidth="1"/>
    <col min="50" max="50" width="7.28515625" customWidth="1"/>
    <col min="51" max="51" width="6.28515625" bestFit="1" customWidth="1"/>
    <col min="52" max="52" width="7.5703125" customWidth="1"/>
    <col min="53" max="53" width="6.5703125" customWidth="1"/>
    <col min="54" max="54" width="7.28515625" bestFit="1" customWidth="1"/>
    <col min="58" max="58" width="9.5703125" bestFit="1" customWidth="1"/>
    <col min="59" max="59" width="15.7109375" bestFit="1" customWidth="1"/>
    <col min="60" max="60" width="10.5703125" bestFit="1" customWidth="1"/>
  </cols>
  <sheetData>
    <row r="1" spans="1:62" ht="15.75" thickTop="1" x14ac:dyDescent="0.25">
      <c r="A1">
        <v>-1000</v>
      </c>
      <c r="B1">
        <v>-3461</v>
      </c>
      <c r="C1">
        <v>-1500</v>
      </c>
      <c r="D1">
        <v>60500</v>
      </c>
      <c r="E1" s="11" t="s">
        <v>33</v>
      </c>
      <c r="F1">
        <f>SUM(A1:E1)</f>
        <v>54539</v>
      </c>
      <c r="W1">
        <v>-1000</v>
      </c>
      <c r="X1">
        <v>-210</v>
      </c>
      <c r="Y1" s="21">
        <v>-200</v>
      </c>
      <c r="Z1" s="21">
        <v>-140</v>
      </c>
      <c r="AA1" s="21">
        <v>-2000</v>
      </c>
      <c r="AB1">
        <v>-200</v>
      </c>
      <c r="AC1">
        <v>-2100</v>
      </c>
      <c r="AD1">
        <v>-200</v>
      </c>
      <c r="AE1">
        <v>-100</v>
      </c>
      <c r="AF1">
        <v>-80</v>
      </c>
      <c r="AG1">
        <v>-550</v>
      </c>
      <c r="AH1">
        <v>-270</v>
      </c>
      <c r="AI1">
        <v>-850</v>
      </c>
      <c r="AJ1">
        <v>3850</v>
      </c>
      <c r="AK1">
        <v>1760</v>
      </c>
      <c r="AL1" s="29">
        <v>-2000</v>
      </c>
      <c r="AM1">
        <v>-50</v>
      </c>
      <c r="AN1" s="32">
        <v>400</v>
      </c>
      <c r="AO1">
        <v>-27556</v>
      </c>
      <c r="AP1" s="29">
        <v>-1000</v>
      </c>
      <c r="AQ1" s="8">
        <v>300</v>
      </c>
      <c r="AR1" s="8">
        <v>466</v>
      </c>
      <c r="AS1" s="9">
        <v>-1000</v>
      </c>
      <c r="AT1">
        <v>-2000</v>
      </c>
      <c r="AU1">
        <v>5000</v>
      </c>
      <c r="AV1">
        <v>-6922</v>
      </c>
      <c r="AW1">
        <v>-7000</v>
      </c>
      <c r="AX1" s="2">
        <v>-1000</v>
      </c>
      <c r="AY1" s="2">
        <v>-1000</v>
      </c>
      <c r="AZ1">
        <v>13000</v>
      </c>
      <c r="BA1">
        <v>2000</v>
      </c>
      <c r="BB1" s="6">
        <v>-1600</v>
      </c>
      <c r="BC1" s="2">
        <v>-1500</v>
      </c>
      <c r="BD1" s="2">
        <v>-600</v>
      </c>
      <c r="BE1" s="3">
        <v>-466</v>
      </c>
      <c r="BF1" s="12">
        <v>40625</v>
      </c>
      <c r="BG1" s="13" t="s">
        <v>15</v>
      </c>
      <c r="BH1" s="14">
        <f>SUM(W1:BF1)</f>
        <v>5807</v>
      </c>
      <c r="BI1" s="4">
        <v>4585</v>
      </c>
      <c r="BJ1" s="31">
        <f>BH1-BI1</f>
        <v>1222</v>
      </c>
    </row>
    <row r="2" spans="1:62" x14ac:dyDescent="0.25">
      <c r="D2">
        <v>40000</v>
      </c>
      <c r="E2" s="11" t="s">
        <v>16</v>
      </c>
      <c r="F2">
        <f>SUM(A2:E2)</f>
        <v>40000</v>
      </c>
      <c r="AL2" s="29"/>
      <c r="AP2" s="29"/>
      <c r="AQ2" s="8"/>
      <c r="AR2" s="8"/>
      <c r="AS2" s="9"/>
      <c r="BE2" s="1"/>
      <c r="BF2" s="12">
        <v>53150</v>
      </c>
      <c r="BG2" s="15" t="s">
        <v>0</v>
      </c>
      <c r="BH2" s="16">
        <f>SUM(AT2:BF2)</f>
        <v>53150</v>
      </c>
    </row>
    <row r="3" spans="1:62" x14ac:dyDescent="0.25">
      <c r="C3">
        <v>-1000</v>
      </c>
      <c r="D3">
        <v>34600</v>
      </c>
      <c r="E3" s="11" t="s">
        <v>17</v>
      </c>
      <c r="F3">
        <f>SUM(A3:E3)</f>
        <v>33600</v>
      </c>
      <c r="AL3" s="29"/>
      <c r="AP3" s="29"/>
      <c r="AQ3" s="8"/>
      <c r="AR3" s="8"/>
      <c r="AS3" s="9"/>
      <c r="BC3">
        <v>-2500</v>
      </c>
      <c r="BD3">
        <v>-13000</v>
      </c>
      <c r="BE3" s="1">
        <v>1500</v>
      </c>
      <c r="BF3" s="12">
        <v>14000</v>
      </c>
      <c r="BG3" s="15" t="s">
        <v>1</v>
      </c>
      <c r="BH3" s="16">
        <f>SUM(AT3:BF3)</f>
        <v>0</v>
      </c>
    </row>
    <row r="4" spans="1:62" x14ac:dyDescent="0.25">
      <c r="B4">
        <v>-1000</v>
      </c>
      <c r="C4">
        <v>-3461</v>
      </c>
      <c r="D4">
        <v>66500</v>
      </c>
      <c r="E4" s="11" t="s">
        <v>18</v>
      </c>
      <c r="F4">
        <f t="shared" ref="F4:F12" si="0">SUM(B4:E4)</f>
        <v>62039</v>
      </c>
      <c r="AL4" s="29"/>
      <c r="AP4" s="29"/>
      <c r="AQ4" s="8"/>
      <c r="AR4" s="8"/>
      <c r="AS4" s="9"/>
      <c r="BE4" s="1"/>
      <c r="BF4" s="12">
        <v>24500</v>
      </c>
      <c r="BG4" s="15" t="s">
        <v>2</v>
      </c>
      <c r="BH4" s="16">
        <f>SUM(AR4:BF4)</f>
        <v>24500</v>
      </c>
    </row>
    <row r="5" spans="1:62" x14ac:dyDescent="0.25">
      <c r="C5">
        <v>-1000</v>
      </c>
      <c r="D5">
        <v>8000</v>
      </c>
      <c r="E5" s="11" t="s">
        <v>21</v>
      </c>
      <c r="F5">
        <f t="shared" si="0"/>
        <v>7000</v>
      </c>
      <c r="AL5" s="29"/>
      <c r="AP5" s="29"/>
      <c r="AQ5" s="8"/>
      <c r="AR5" s="8"/>
      <c r="AS5" s="9"/>
      <c r="BE5" s="1"/>
      <c r="BF5" s="12">
        <v>2100</v>
      </c>
      <c r="BG5" s="15" t="s">
        <v>2</v>
      </c>
      <c r="BH5" s="16">
        <f>SUM(AT5:BF5)</f>
        <v>2100</v>
      </c>
    </row>
    <row r="6" spans="1:62" x14ac:dyDescent="0.25">
      <c r="D6">
        <v>3000</v>
      </c>
      <c r="E6" s="11" t="s">
        <v>34</v>
      </c>
      <c r="F6">
        <f t="shared" si="0"/>
        <v>3000</v>
      </c>
      <c r="AL6" s="29"/>
      <c r="AP6" s="29"/>
      <c r="AQ6" s="8"/>
      <c r="AR6" s="8"/>
      <c r="AS6" s="9"/>
      <c r="BE6" s="1"/>
      <c r="BF6" s="12">
        <v>14000</v>
      </c>
      <c r="BG6" s="15" t="s">
        <v>3</v>
      </c>
      <c r="BH6" s="16">
        <f>SUM(AS6:BF6)</f>
        <v>14000</v>
      </c>
    </row>
    <row r="7" spans="1:62" x14ac:dyDescent="0.25">
      <c r="D7">
        <v>49500</v>
      </c>
      <c r="E7" s="11" t="s">
        <v>17</v>
      </c>
      <c r="F7">
        <f t="shared" si="0"/>
        <v>49500</v>
      </c>
      <c r="AL7" s="29"/>
      <c r="AP7" s="29"/>
      <c r="AQ7" s="8"/>
      <c r="AR7" s="8"/>
      <c r="AS7" s="9"/>
      <c r="BE7" s="1">
        <v>-1500</v>
      </c>
      <c r="BF7" s="12">
        <v>5500</v>
      </c>
      <c r="BG7" s="15" t="s">
        <v>4</v>
      </c>
      <c r="BH7" s="16">
        <f>SUM(AS7:BF7)</f>
        <v>4000</v>
      </c>
    </row>
    <row r="8" spans="1:62" x14ac:dyDescent="0.25">
      <c r="D8">
        <v>7200</v>
      </c>
      <c r="E8" s="11" t="s">
        <v>43</v>
      </c>
      <c r="F8">
        <f t="shared" si="0"/>
        <v>7200</v>
      </c>
      <c r="AL8" s="29"/>
      <c r="AP8" s="29"/>
      <c r="AQ8" s="8"/>
      <c r="AR8" s="8"/>
      <c r="AS8" s="9"/>
      <c r="BE8" s="1">
        <v>-2000</v>
      </c>
      <c r="BF8" s="12">
        <v>4000</v>
      </c>
      <c r="BG8" s="15" t="s">
        <v>25</v>
      </c>
      <c r="BH8" s="16">
        <f>SUM(AT8:BF8)</f>
        <v>2000</v>
      </c>
    </row>
    <row r="9" spans="1:62" x14ac:dyDescent="0.25">
      <c r="D9">
        <v>110</v>
      </c>
      <c r="E9" s="11" t="s">
        <v>35</v>
      </c>
      <c r="F9">
        <f t="shared" si="0"/>
        <v>110</v>
      </c>
      <c r="AL9" s="29"/>
      <c r="AP9" s="29"/>
      <c r="AQ9" s="8"/>
      <c r="AR9" s="8"/>
      <c r="AS9" s="9"/>
      <c r="BE9" s="1">
        <v>1000</v>
      </c>
      <c r="BF9" s="12">
        <v>7400</v>
      </c>
      <c r="BG9" s="15" t="s">
        <v>26</v>
      </c>
      <c r="BH9" s="16">
        <f>SUM(AT9:BF9)</f>
        <v>8400</v>
      </c>
    </row>
    <row r="10" spans="1:62" x14ac:dyDescent="0.25">
      <c r="D10">
        <v>8400</v>
      </c>
      <c r="E10" s="11" t="s">
        <v>36</v>
      </c>
      <c r="F10">
        <f t="shared" si="0"/>
        <v>8400</v>
      </c>
      <c r="AL10" s="29"/>
      <c r="AP10" s="29"/>
      <c r="AQ10" s="8"/>
      <c r="AR10" s="8"/>
      <c r="AS10" s="9"/>
      <c r="BD10">
        <v>-400</v>
      </c>
      <c r="BE10" s="1">
        <v>-300</v>
      </c>
      <c r="BF10" s="12">
        <v>2300</v>
      </c>
      <c r="BG10" s="15" t="s">
        <v>5</v>
      </c>
      <c r="BH10" s="16">
        <f>SUM(AS10:BF10)</f>
        <v>1600</v>
      </c>
    </row>
    <row r="11" spans="1:62" x14ac:dyDescent="0.25">
      <c r="D11">
        <v>5000</v>
      </c>
      <c r="E11" s="11" t="s">
        <v>37</v>
      </c>
      <c r="F11">
        <f t="shared" si="0"/>
        <v>5000</v>
      </c>
      <c r="AL11" s="29"/>
      <c r="AP11" s="29"/>
      <c r="AQ11" s="8"/>
      <c r="AR11" s="8"/>
      <c r="AS11" s="9"/>
      <c r="BE11" s="1"/>
      <c r="BF11" s="12">
        <v>2500</v>
      </c>
      <c r="BG11" s="15" t="s">
        <v>6</v>
      </c>
      <c r="BH11" s="16">
        <f>SUM(AU11:BF11)</f>
        <v>2500</v>
      </c>
    </row>
    <row r="12" spans="1:62" x14ac:dyDescent="0.25">
      <c r="D12">
        <v>400</v>
      </c>
      <c r="E12" s="11" t="s">
        <v>39</v>
      </c>
      <c r="F12">
        <f t="shared" si="0"/>
        <v>400</v>
      </c>
      <c r="AL12" s="29"/>
      <c r="AP12" s="29"/>
      <c r="AQ12" s="8"/>
      <c r="AR12" s="8"/>
      <c r="AS12" s="9"/>
      <c r="BE12" s="1"/>
      <c r="BF12" s="12">
        <v>1300</v>
      </c>
      <c r="BG12" s="15" t="s">
        <v>27</v>
      </c>
      <c r="BH12" s="16">
        <f>SUM(AS12:BF12)</f>
        <v>1300</v>
      </c>
    </row>
    <row r="13" spans="1:62" x14ac:dyDescent="0.25">
      <c r="D13" s="12">
        <v>1300</v>
      </c>
      <c r="E13" s="24" t="s">
        <v>41</v>
      </c>
      <c r="F13" s="12">
        <v>1300</v>
      </c>
      <c r="AL13" s="29"/>
      <c r="AP13" s="29"/>
      <c r="AQ13" s="8"/>
      <c r="AR13" s="8"/>
      <c r="AS13" s="9"/>
      <c r="BE13" s="1"/>
      <c r="BF13" s="12">
        <v>1000</v>
      </c>
      <c r="BG13" s="15" t="s">
        <v>11</v>
      </c>
      <c r="BH13" s="16">
        <f>SUM(AS13:BF13)</f>
        <v>1000</v>
      </c>
    </row>
    <row r="14" spans="1:62" x14ac:dyDescent="0.25">
      <c r="D14" s="21">
        <v>2550</v>
      </c>
      <c r="E14" s="24" t="s">
        <v>42</v>
      </c>
      <c r="F14" s="21">
        <v>2550</v>
      </c>
      <c r="AL14" s="29"/>
      <c r="AP14" s="29"/>
      <c r="AQ14" s="8"/>
      <c r="AR14" s="8"/>
      <c r="AS14" s="9"/>
      <c r="BE14" s="1"/>
      <c r="BF14" s="12">
        <v>650</v>
      </c>
      <c r="BG14" s="15" t="s">
        <v>7</v>
      </c>
      <c r="BH14" s="16">
        <f>SUM(AU14:BF14)</f>
        <v>650</v>
      </c>
    </row>
    <row r="15" spans="1:62" x14ac:dyDescent="0.25">
      <c r="AL15" s="29"/>
      <c r="AP15" s="29"/>
      <c r="AQ15" s="8"/>
      <c r="AR15" s="8"/>
      <c r="AS15" s="9"/>
      <c r="BE15" s="1"/>
      <c r="BF15" s="12">
        <v>400</v>
      </c>
      <c r="BG15" s="15" t="s">
        <v>28</v>
      </c>
      <c r="BH15" s="16">
        <f>SUM(AT15:BF15)</f>
        <v>400</v>
      </c>
    </row>
    <row r="16" spans="1:62" x14ac:dyDescent="0.25">
      <c r="F16" s="10">
        <f>SUM(F1:F15)</f>
        <v>274638</v>
      </c>
      <c r="AL16" s="29"/>
      <c r="AO16" s="32"/>
      <c r="AP16" s="29"/>
      <c r="AQ16" s="8"/>
      <c r="AR16" s="8"/>
      <c r="AS16" s="9"/>
      <c r="BE16" s="1"/>
      <c r="BF16" s="12">
        <v>250</v>
      </c>
      <c r="BG16" s="15" t="s">
        <v>29</v>
      </c>
      <c r="BH16" s="16">
        <f>SUM(AT16:BF16)</f>
        <v>250</v>
      </c>
    </row>
    <row r="17" spans="1:61" x14ac:dyDescent="0.25">
      <c r="A17" s="8"/>
      <c r="B17" s="8"/>
      <c r="C17" s="8"/>
      <c r="D17" s="8"/>
      <c r="E17" s="8"/>
      <c r="F17" s="8"/>
      <c r="AL17" s="29"/>
      <c r="AN17" s="27"/>
      <c r="AO17" s="27"/>
      <c r="AP17" s="29"/>
      <c r="AQ17" s="8"/>
      <c r="AR17" s="8"/>
      <c r="AS17" s="9"/>
      <c r="BA17">
        <v>620</v>
      </c>
      <c r="BB17">
        <v>100</v>
      </c>
      <c r="BC17">
        <v>260</v>
      </c>
      <c r="BD17">
        <v>600</v>
      </c>
      <c r="BE17" s="1">
        <v>1200</v>
      </c>
      <c r="BF17" s="12">
        <v>15390</v>
      </c>
      <c r="BG17" s="15" t="s">
        <v>8</v>
      </c>
      <c r="BH17" s="14">
        <f t="shared" ref="BH17:BH23" si="1">SUM(AU17:BF17)</f>
        <v>18170</v>
      </c>
    </row>
    <row r="18" spans="1:61" x14ac:dyDescent="0.25">
      <c r="A18" s="8"/>
      <c r="B18" s="8"/>
      <c r="C18" s="8"/>
      <c r="D18" s="8"/>
      <c r="E18" s="8"/>
      <c r="F18" s="8"/>
      <c r="AL18" s="29"/>
      <c r="AN18" s="27"/>
      <c r="AO18" s="27"/>
      <c r="AP18" s="29"/>
      <c r="AQ18" s="8"/>
      <c r="AR18" s="8"/>
      <c r="AS18" s="9"/>
      <c r="BA18">
        <v>10</v>
      </c>
      <c r="BB18">
        <v>100</v>
      </c>
      <c r="BC18">
        <v>1500</v>
      </c>
      <c r="BD18">
        <v>620</v>
      </c>
      <c r="BE18" s="1">
        <v>475</v>
      </c>
      <c r="BF18" s="12">
        <v>13820</v>
      </c>
      <c r="BG18" s="15" t="s">
        <v>9</v>
      </c>
      <c r="BH18" s="16">
        <f t="shared" si="1"/>
        <v>16525</v>
      </c>
    </row>
    <row r="19" spans="1:61" x14ac:dyDescent="0.25">
      <c r="A19" s="8"/>
      <c r="B19" s="8"/>
      <c r="C19" s="8"/>
      <c r="D19" s="8"/>
      <c r="E19" s="8"/>
      <c r="F19" s="8"/>
      <c r="AL19" s="29"/>
      <c r="AN19" s="27"/>
      <c r="AO19" s="27"/>
      <c r="AP19" s="29"/>
      <c r="AQ19" s="8"/>
      <c r="AR19" s="8"/>
      <c r="AS19" s="9"/>
      <c r="BE19" s="1"/>
      <c r="BF19" s="12">
        <v>13650</v>
      </c>
      <c r="BG19" s="15" t="s">
        <v>22</v>
      </c>
      <c r="BH19" s="16">
        <f t="shared" si="1"/>
        <v>13650</v>
      </c>
    </row>
    <row r="20" spans="1:61" x14ac:dyDescent="0.25">
      <c r="A20" s="8"/>
      <c r="B20" s="8"/>
      <c r="C20" s="8"/>
      <c r="D20" s="8"/>
      <c r="E20" s="8"/>
      <c r="F20" s="8"/>
      <c r="AL20" s="29"/>
      <c r="AN20" s="27"/>
      <c r="AO20" s="27"/>
      <c r="AP20" s="29"/>
      <c r="AQ20" s="8"/>
      <c r="AR20" s="8"/>
      <c r="AS20" s="9"/>
      <c r="AZ20">
        <v>100</v>
      </c>
      <c r="BA20">
        <v>100</v>
      </c>
      <c r="BB20">
        <v>200</v>
      </c>
      <c r="BC20">
        <v>120</v>
      </c>
      <c r="BD20">
        <v>500</v>
      </c>
      <c r="BE20" s="1">
        <v>7816</v>
      </c>
      <c r="BF20" s="12">
        <v>15250</v>
      </c>
      <c r="BG20" s="15" t="s">
        <v>10</v>
      </c>
      <c r="BH20" s="16">
        <f t="shared" si="1"/>
        <v>24086</v>
      </c>
    </row>
    <row r="21" spans="1:61" x14ac:dyDescent="0.25">
      <c r="A21" s="8"/>
      <c r="B21" s="8"/>
      <c r="C21" s="8"/>
      <c r="D21" s="8"/>
      <c r="E21" s="8"/>
      <c r="F21" s="8"/>
      <c r="AL21" s="29"/>
      <c r="AN21" s="27"/>
      <c r="AO21" s="27"/>
      <c r="AP21" s="29"/>
      <c r="AQ21" s="8"/>
      <c r="AR21" s="8"/>
      <c r="AS21" s="9"/>
      <c r="AY21">
        <v>100</v>
      </c>
      <c r="AZ21">
        <v>190</v>
      </c>
      <c r="BA21">
        <v>2500</v>
      </c>
      <c r="BB21">
        <v>-15800</v>
      </c>
      <c r="BC21" s="6">
        <v>1000</v>
      </c>
      <c r="BD21" s="6">
        <v>500</v>
      </c>
      <c r="BE21" s="7">
        <v>5408</v>
      </c>
      <c r="BF21" s="17">
        <v>5750</v>
      </c>
      <c r="BG21" s="18" t="s">
        <v>23</v>
      </c>
      <c r="BH21" s="19">
        <f>SUM(AU21:BF21)</f>
        <v>-352</v>
      </c>
      <c r="BI21" s="5"/>
    </row>
    <row r="22" spans="1:61" x14ac:dyDescent="0.25">
      <c r="A22" s="8"/>
      <c r="B22" s="8"/>
      <c r="C22" s="8"/>
      <c r="D22" s="8"/>
      <c r="E22" s="8"/>
      <c r="F22" s="8"/>
      <c r="AL22" s="29"/>
      <c r="AN22" s="27"/>
      <c r="AO22" s="27"/>
      <c r="AP22" s="29"/>
      <c r="AQ22" s="8"/>
      <c r="AR22" s="8"/>
      <c r="AS22" s="9"/>
      <c r="BD22">
        <v>120</v>
      </c>
      <c r="BE22" s="1">
        <v>8868</v>
      </c>
      <c r="BF22" s="12">
        <v>9250</v>
      </c>
      <c r="BG22" s="15" t="s">
        <v>24</v>
      </c>
      <c r="BH22" s="16">
        <f t="shared" si="1"/>
        <v>18238</v>
      </c>
    </row>
    <row r="23" spans="1:61" x14ac:dyDescent="0.25">
      <c r="A23" s="8"/>
      <c r="B23" s="8"/>
      <c r="C23" s="8"/>
      <c r="D23" s="8"/>
      <c r="E23" s="8"/>
      <c r="F23" s="8"/>
      <c r="AL23" s="29"/>
      <c r="AN23" s="27"/>
      <c r="AO23" s="27"/>
      <c r="AP23" s="29"/>
      <c r="AQ23" s="8"/>
      <c r="AR23" s="8"/>
      <c r="AS23" s="9"/>
      <c r="BC23">
        <v>-415</v>
      </c>
      <c r="BD23">
        <v>-260</v>
      </c>
      <c r="BE23" s="1">
        <v>-260</v>
      </c>
      <c r="BF23" s="12">
        <v>935</v>
      </c>
      <c r="BG23" s="15" t="s">
        <v>19</v>
      </c>
      <c r="BH23" s="16">
        <f t="shared" si="1"/>
        <v>0</v>
      </c>
    </row>
    <row r="24" spans="1:61" x14ac:dyDescent="0.25">
      <c r="A24" s="8"/>
      <c r="B24" s="8"/>
      <c r="C24" s="8"/>
      <c r="D24" s="8"/>
      <c r="E24" s="8"/>
      <c r="F24" s="8"/>
      <c r="AL24" s="29"/>
      <c r="AN24" s="27"/>
      <c r="AO24" s="27"/>
      <c r="AP24" s="29"/>
      <c r="AQ24" s="8"/>
      <c r="AR24" s="8"/>
      <c r="AS24" s="9"/>
      <c r="BE24" s="1"/>
      <c r="BF24" s="12">
        <v>1000</v>
      </c>
      <c r="BG24" s="15" t="s">
        <v>12</v>
      </c>
      <c r="BH24" s="16">
        <f>SUM(AV24:BF24)</f>
        <v>1000</v>
      </c>
    </row>
    <row r="25" spans="1:61" x14ac:dyDescent="0.25">
      <c r="A25" s="8"/>
      <c r="B25" s="8"/>
      <c r="C25" s="8"/>
      <c r="D25" s="8"/>
      <c r="E25" s="8"/>
      <c r="F25" s="8"/>
      <c r="AL25" s="29"/>
      <c r="AN25" s="27"/>
      <c r="AO25" s="27"/>
      <c r="AP25" s="29"/>
      <c r="AQ25" s="8"/>
      <c r="AR25" s="8"/>
      <c r="AS25" s="9"/>
      <c r="BE25" s="1"/>
      <c r="BF25" s="12">
        <v>21500</v>
      </c>
      <c r="BG25" s="15" t="s">
        <v>13</v>
      </c>
      <c r="BH25" s="16">
        <f>SUM(AV25:BF25)</f>
        <v>21500</v>
      </c>
    </row>
    <row r="26" spans="1:61" x14ac:dyDescent="0.25">
      <c r="A26" s="8"/>
      <c r="B26" s="8"/>
      <c r="C26" s="8"/>
      <c r="D26" s="8"/>
      <c r="E26" s="8"/>
      <c r="F26" s="8"/>
      <c r="AL26" s="29"/>
      <c r="AN26" s="27"/>
      <c r="AO26" s="27"/>
      <c r="AP26" s="29"/>
      <c r="AQ26" s="8"/>
      <c r="AR26" s="8"/>
      <c r="AS26" s="9"/>
      <c r="BD26">
        <v>-210</v>
      </c>
      <c r="BE26" s="1">
        <v>-1760</v>
      </c>
      <c r="BF26" s="12">
        <v>6000</v>
      </c>
      <c r="BG26" s="20" t="s">
        <v>14</v>
      </c>
      <c r="BH26" s="16">
        <f>SUM(AV26:BF26)</f>
        <v>4030</v>
      </c>
    </row>
    <row r="27" spans="1:61" x14ac:dyDescent="0.25">
      <c r="A27" s="8"/>
      <c r="B27" s="8"/>
      <c r="C27" s="8"/>
      <c r="D27" s="8"/>
      <c r="E27" s="8"/>
      <c r="F27" s="8"/>
      <c r="AL27" s="29"/>
      <c r="AN27" s="27"/>
      <c r="AO27" s="27"/>
      <c r="AP27" s="29"/>
      <c r="AQ27" s="8"/>
      <c r="AR27" s="8"/>
      <c r="AS27" s="9"/>
      <c r="BF27" s="12">
        <v>200</v>
      </c>
      <c r="BG27" s="20" t="s">
        <v>20</v>
      </c>
      <c r="BH27" s="21">
        <f>SUM(AY27:BF27)</f>
        <v>200</v>
      </c>
    </row>
    <row r="28" spans="1:61" x14ac:dyDescent="0.25">
      <c r="A28" s="8"/>
      <c r="B28" s="8"/>
      <c r="C28" s="8"/>
      <c r="D28" s="8"/>
      <c r="E28" s="8"/>
      <c r="F28" s="8"/>
      <c r="AL28" s="29"/>
      <c r="AN28" s="27"/>
      <c r="AO28" s="27"/>
      <c r="AP28" s="29"/>
      <c r="AQ28" s="8"/>
      <c r="AR28" s="8"/>
      <c r="AS28" s="9"/>
      <c r="BF28" s="12">
        <v>260</v>
      </c>
      <c r="BG28" s="15" t="s">
        <v>38</v>
      </c>
      <c r="BH28" s="21">
        <f>SUM(AZ28:BF28)</f>
        <v>260</v>
      </c>
    </row>
    <row r="29" spans="1:61" x14ac:dyDescent="0.25">
      <c r="A29" s="8"/>
      <c r="B29" s="8"/>
      <c r="C29" s="8"/>
      <c r="D29" s="8"/>
      <c r="E29" s="8"/>
      <c r="F29" s="8"/>
      <c r="AL29" s="29"/>
      <c r="AN29" s="27"/>
      <c r="AO29" s="27"/>
      <c r="AP29" s="29"/>
      <c r="AQ29" s="8"/>
      <c r="AR29" s="8"/>
      <c r="AS29" s="9"/>
      <c r="BE29">
        <v>100</v>
      </c>
      <c r="BF29" s="12">
        <v>10500</v>
      </c>
      <c r="BG29" s="15" t="s">
        <v>30</v>
      </c>
      <c r="BH29" s="22">
        <f>SUM(AV29:BF29)</f>
        <v>10600</v>
      </c>
    </row>
    <row r="30" spans="1:61" x14ac:dyDescent="0.25">
      <c r="A30" s="8"/>
      <c r="B30" s="8"/>
      <c r="C30" s="8"/>
      <c r="D30" s="8"/>
      <c r="E30" s="8"/>
      <c r="F30" s="8"/>
      <c r="AL30" s="29"/>
      <c r="AN30" s="27"/>
      <c r="AO30" s="27"/>
      <c r="AP30" s="29"/>
      <c r="AQ30" s="8"/>
      <c r="AR30" s="8"/>
      <c r="AS30" s="9"/>
      <c r="AY30">
        <v>1500</v>
      </c>
      <c r="AZ30">
        <v>140</v>
      </c>
      <c r="BA30">
        <v>80</v>
      </c>
      <c r="BB30">
        <v>270</v>
      </c>
      <c r="BC30">
        <v>850</v>
      </c>
      <c r="BD30">
        <v>50</v>
      </c>
      <c r="BE30">
        <v>5464</v>
      </c>
      <c r="BF30" s="12">
        <v>3800</v>
      </c>
      <c r="BG30" s="15" t="s">
        <v>31</v>
      </c>
      <c r="BH30" s="23">
        <f>SUM(AV30:BF30)</f>
        <v>12154</v>
      </c>
    </row>
    <row r="31" spans="1:61" x14ac:dyDescent="0.25">
      <c r="A31" s="8"/>
      <c r="B31" s="8"/>
      <c r="C31" s="8"/>
      <c r="D31" s="8"/>
      <c r="E31" s="8"/>
      <c r="F31" s="8"/>
      <c r="AL31" s="29"/>
      <c r="AN31" s="27"/>
      <c r="AO31" s="27"/>
      <c r="AP31" s="29"/>
      <c r="AQ31" s="8"/>
      <c r="AR31" s="8"/>
      <c r="AS31" s="9"/>
      <c r="BE31">
        <v>2000</v>
      </c>
      <c r="BF31" s="12">
        <v>7000</v>
      </c>
      <c r="BG31" s="24" t="s">
        <v>32</v>
      </c>
      <c r="BH31" s="23">
        <f>SUM(AV31:BF31)</f>
        <v>9000</v>
      </c>
    </row>
    <row r="32" spans="1:61" x14ac:dyDescent="0.25">
      <c r="A32" s="8"/>
      <c r="B32" s="8"/>
      <c r="C32" s="8"/>
      <c r="D32" s="8"/>
      <c r="E32" s="8"/>
      <c r="F32" s="8"/>
      <c r="AL32" s="29"/>
      <c r="AN32" s="27"/>
      <c r="AO32" s="27"/>
      <c r="AP32" s="29"/>
      <c r="AQ32" s="8"/>
      <c r="AR32" s="8"/>
      <c r="AS32" s="9"/>
      <c r="BF32" s="12">
        <v>2100</v>
      </c>
      <c r="BG32" s="24" t="s">
        <v>40</v>
      </c>
      <c r="BH32" s="25">
        <v>2100</v>
      </c>
    </row>
    <row r="33" spans="1:60" x14ac:dyDescent="0.25">
      <c r="A33" s="9"/>
      <c r="B33" s="9"/>
      <c r="C33" s="9"/>
      <c r="D33" s="9"/>
      <c r="E33" s="9"/>
      <c r="F33" s="9"/>
      <c r="AL33" s="29"/>
      <c r="AN33" s="33"/>
      <c r="AO33" s="28"/>
      <c r="AP33" s="29"/>
      <c r="AQ33" s="9"/>
      <c r="AR33" s="9"/>
      <c r="AS33" s="9"/>
      <c r="BF33" s="12">
        <v>200</v>
      </c>
      <c r="BG33" s="24" t="s">
        <v>18</v>
      </c>
      <c r="BH33" s="12">
        <v>200</v>
      </c>
    </row>
    <row r="34" spans="1:60" x14ac:dyDescent="0.25">
      <c r="A34" s="9"/>
      <c r="B34" s="9"/>
      <c r="C34" s="9"/>
      <c r="D34" s="9"/>
      <c r="E34" s="9"/>
      <c r="F34" s="9"/>
      <c r="AL34" s="29"/>
      <c r="AN34" s="33"/>
      <c r="AO34" s="28"/>
      <c r="AP34" s="29"/>
      <c r="AQ34" s="9"/>
      <c r="AR34" s="9"/>
      <c r="AS34" s="9"/>
      <c r="BE34">
        <v>1000</v>
      </c>
      <c r="BF34" s="12">
        <v>200</v>
      </c>
      <c r="BG34" s="24" t="s">
        <v>44</v>
      </c>
      <c r="BH34">
        <f>SUM(BE34:BF34)</f>
        <v>1200</v>
      </c>
    </row>
    <row r="35" spans="1:60" x14ac:dyDescent="0.25">
      <c r="A35" s="9"/>
      <c r="B35" s="9"/>
      <c r="C35" s="9"/>
      <c r="D35" s="9"/>
      <c r="E35" s="9"/>
      <c r="F35" s="9"/>
      <c r="AL35" s="29"/>
      <c r="AN35" s="33"/>
      <c r="AO35" s="28"/>
      <c r="AP35" s="29"/>
      <c r="AQ35" s="9"/>
      <c r="AR35" s="9"/>
      <c r="AS35" s="9"/>
    </row>
    <row r="36" spans="1:60" x14ac:dyDescent="0.25">
      <c r="AL36" s="29"/>
      <c r="AP36" s="29"/>
      <c r="BF36" s="21"/>
      <c r="BG36" s="21"/>
      <c r="BH36" s="21"/>
    </row>
    <row r="37" spans="1:60" x14ac:dyDescent="0.25">
      <c r="AL37" s="29"/>
      <c r="AP37" s="29"/>
      <c r="BF37" s="21"/>
      <c r="BG37" s="21"/>
      <c r="BH37" s="21"/>
    </row>
    <row r="38" spans="1:60" x14ac:dyDescent="0.25">
      <c r="AL38" s="29"/>
      <c r="AP38" s="29"/>
      <c r="BF38" s="21"/>
      <c r="BG38" s="21"/>
      <c r="BH38" s="21"/>
    </row>
    <row r="39" spans="1:60" x14ac:dyDescent="0.25">
      <c r="AL39" s="29"/>
      <c r="AP39" s="29"/>
      <c r="BF39" s="21"/>
      <c r="BG39" s="21"/>
      <c r="BH39" s="21"/>
    </row>
    <row r="40" spans="1:60" ht="15.75" thickBot="1" x14ac:dyDescent="0.3">
      <c r="AL40" s="29"/>
      <c r="AP40" s="29"/>
      <c r="BF40" s="21"/>
      <c r="BG40" s="21"/>
      <c r="BH40" s="21"/>
    </row>
    <row r="41" spans="1:60" ht="15.75" thickBot="1" x14ac:dyDescent="0.3">
      <c r="AL41" s="29"/>
      <c r="AP41" s="29"/>
      <c r="BF41" s="21"/>
      <c r="BG41" s="21"/>
      <c r="BH41" s="26">
        <f>SUM(BH1:BH40)</f>
        <v>274218</v>
      </c>
    </row>
    <row r="42" spans="1:60" x14ac:dyDescent="0.25">
      <c r="AL42" s="29"/>
      <c r="AP42" s="29"/>
      <c r="BF42" s="21"/>
      <c r="BG42" s="21"/>
      <c r="BH42" s="21">
        <f>غلة!F16</f>
        <v>274638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O42"/>
  <sheetViews>
    <sheetView workbookViewId="0">
      <selection activeCell="J4" sqref="J4"/>
    </sheetView>
  </sheetViews>
  <sheetFormatPr defaultRowHeight="15" x14ac:dyDescent="0.25"/>
  <cols>
    <col min="1" max="1" width="11.28515625" bestFit="1" customWidth="1"/>
    <col min="3" max="3" width="15.7109375" style="21" bestFit="1" customWidth="1"/>
    <col min="4" max="4" width="12" style="21" bestFit="1" customWidth="1"/>
    <col min="5" max="5" width="11.28515625" bestFit="1" customWidth="1"/>
  </cols>
  <sheetData>
    <row r="1" spans="1:121" s="35" customFormat="1" ht="18.75" x14ac:dyDescent="0.25">
      <c r="A1" s="34" t="s">
        <v>49</v>
      </c>
      <c r="B1" s="34" t="s">
        <v>48</v>
      </c>
      <c r="C1" s="34" t="s">
        <v>45</v>
      </c>
      <c r="D1" s="34" t="s">
        <v>46</v>
      </c>
      <c r="E1" s="34" t="s">
        <v>47</v>
      </c>
      <c r="F1" s="38" t="s">
        <v>50</v>
      </c>
      <c r="G1" s="38" t="s">
        <v>50</v>
      </c>
      <c r="H1" s="38" t="s">
        <v>50</v>
      </c>
      <c r="I1" s="38" t="s">
        <v>50</v>
      </c>
      <c r="J1" s="38" t="s">
        <v>50</v>
      </c>
      <c r="K1" s="38" t="s">
        <v>50</v>
      </c>
      <c r="L1" s="38" t="s">
        <v>50</v>
      </c>
      <c r="M1" s="38" t="s">
        <v>50</v>
      </c>
      <c r="N1" s="38" t="s">
        <v>50</v>
      </c>
      <c r="O1" s="38" t="s">
        <v>50</v>
      </c>
      <c r="P1" s="38" t="s">
        <v>50</v>
      </c>
      <c r="Q1" s="38" t="s">
        <v>50</v>
      </c>
      <c r="R1" s="38" t="s">
        <v>50</v>
      </c>
      <c r="S1" s="38" t="s">
        <v>50</v>
      </c>
      <c r="T1" s="38" t="s">
        <v>50</v>
      </c>
      <c r="U1" s="38" t="s">
        <v>50</v>
      </c>
      <c r="V1" s="38" t="s">
        <v>50</v>
      </c>
      <c r="W1" s="38" t="s">
        <v>50</v>
      </c>
      <c r="X1" s="38" t="s">
        <v>50</v>
      </c>
      <c r="Y1" s="38" t="s">
        <v>50</v>
      </c>
      <c r="Z1" s="38" t="s">
        <v>50</v>
      </c>
      <c r="AA1" s="38" t="s">
        <v>50</v>
      </c>
      <c r="AB1" s="38" t="s">
        <v>50</v>
      </c>
      <c r="AC1" s="38" t="s">
        <v>50</v>
      </c>
      <c r="AD1" s="38" t="s">
        <v>50</v>
      </c>
      <c r="AE1" s="38" t="s">
        <v>50</v>
      </c>
      <c r="AF1" s="38" t="s">
        <v>50</v>
      </c>
      <c r="AG1" s="38" t="s">
        <v>50</v>
      </c>
      <c r="AH1" s="38" t="s">
        <v>50</v>
      </c>
      <c r="AI1" s="38" t="s">
        <v>50</v>
      </c>
      <c r="AJ1" s="38" t="s">
        <v>50</v>
      </c>
      <c r="AK1" s="38" t="s">
        <v>50</v>
      </c>
      <c r="AL1" s="38" t="s">
        <v>50</v>
      </c>
      <c r="AM1" s="38" t="s">
        <v>50</v>
      </c>
      <c r="AN1" s="38" t="s">
        <v>50</v>
      </c>
      <c r="AO1" s="38" t="s">
        <v>50</v>
      </c>
      <c r="AP1" s="38" t="s">
        <v>50</v>
      </c>
      <c r="AQ1" s="38" t="s">
        <v>50</v>
      </c>
      <c r="AR1" s="38" t="s">
        <v>50</v>
      </c>
      <c r="AS1" s="38" t="s">
        <v>50</v>
      </c>
      <c r="AT1" s="38" t="s">
        <v>50</v>
      </c>
      <c r="AU1" s="38" t="s">
        <v>50</v>
      </c>
      <c r="AV1" s="38" t="s">
        <v>50</v>
      </c>
      <c r="AW1" s="38" t="s">
        <v>50</v>
      </c>
      <c r="AX1" s="38" t="s">
        <v>50</v>
      </c>
      <c r="AY1" s="38" t="s">
        <v>50</v>
      </c>
      <c r="AZ1" s="38" t="s">
        <v>50</v>
      </c>
      <c r="BA1" s="38" t="s">
        <v>50</v>
      </c>
      <c r="BB1" s="38" t="s">
        <v>50</v>
      </c>
      <c r="BC1" s="38" t="s">
        <v>50</v>
      </c>
      <c r="BD1" s="38" t="s">
        <v>50</v>
      </c>
      <c r="BE1" s="38" t="s">
        <v>50</v>
      </c>
      <c r="BF1" s="38" t="s">
        <v>50</v>
      </c>
      <c r="BG1" s="38" t="s">
        <v>50</v>
      </c>
      <c r="BH1" s="38" t="s">
        <v>50</v>
      </c>
      <c r="BI1" s="38" t="s">
        <v>50</v>
      </c>
      <c r="BJ1" s="38" t="s">
        <v>50</v>
      </c>
      <c r="BK1" s="38" t="s">
        <v>50</v>
      </c>
      <c r="BL1" s="38" t="s">
        <v>50</v>
      </c>
      <c r="BM1" s="38" t="s">
        <v>50</v>
      </c>
      <c r="BN1" s="38" t="s">
        <v>50</v>
      </c>
      <c r="BO1" s="38" t="s">
        <v>50</v>
      </c>
      <c r="BP1" s="38" t="s">
        <v>50</v>
      </c>
      <c r="BQ1" s="38" t="s">
        <v>50</v>
      </c>
      <c r="BR1" s="38" t="s">
        <v>50</v>
      </c>
      <c r="BS1" s="38" t="s">
        <v>50</v>
      </c>
      <c r="BT1" s="38" t="s">
        <v>50</v>
      </c>
      <c r="BU1" s="38" t="s">
        <v>50</v>
      </c>
      <c r="BV1" s="38" t="s">
        <v>50</v>
      </c>
      <c r="BW1" s="38" t="s">
        <v>50</v>
      </c>
      <c r="BX1" s="38" t="s">
        <v>50</v>
      </c>
      <c r="BY1" s="38" t="s">
        <v>50</v>
      </c>
      <c r="BZ1" s="38" t="s">
        <v>50</v>
      </c>
      <c r="CA1" s="38" t="s">
        <v>50</v>
      </c>
      <c r="CB1" s="38" t="s">
        <v>50</v>
      </c>
      <c r="CC1" s="38" t="s">
        <v>50</v>
      </c>
      <c r="CD1" s="38" t="s">
        <v>50</v>
      </c>
      <c r="CE1" s="38" t="s">
        <v>50</v>
      </c>
      <c r="CF1" s="35" t="s">
        <v>50</v>
      </c>
      <c r="CG1" s="35" t="s">
        <v>50</v>
      </c>
      <c r="CH1" s="35" t="s">
        <v>50</v>
      </c>
      <c r="CI1" s="35" t="s">
        <v>50</v>
      </c>
      <c r="CJ1" s="35" t="s">
        <v>50</v>
      </c>
      <c r="CK1" s="35" t="s">
        <v>50</v>
      </c>
      <c r="CL1" s="35" t="s">
        <v>50</v>
      </c>
      <c r="CM1" s="35" t="s">
        <v>50</v>
      </c>
      <c r="CN1" s="35" t="s">
        <v>50</v>
      </c>
      <c r="CO1" s="35" t="s">
        <v>50</v>
      </c>
      <c r="CP1" s="35" t="s">
        <v>50</v>
      </c>
      <c r="CQ1" s="35" t="s">
        <v>50</v>
      </c>
      <c r="CR1" s="35" t="s">
        <v>50</v>
      </c>
      <c r="CS1" s="35" t="s">
        <v>50</v>
      </c>
      <c r="CT1" s="35" t="s">
        <v>50</v>
      </c>
      <c r="CU1" s="35" t="s">
        <v>50</v>
      </c>
      <c r="CV1" s="35" t="s">
        <v>50</v>
      </c>
      <c r="CW1" s="35" t="s">
        <v>50</v>
      </c>
      <c r="CX1" s="35" t="s">
        <v>50</v>
      </c>
      <c r="CY1" s="35" t="s">
        <v>50</v>
      </c>
      <c r="CZ1" s="35" t="s">
        <v>50</v>
      </c>
      <c r="DA1" s="35" t="s">
        <v>50</v>
      </c>
      <c r="DB1" s="35" t="s">
        <v>50</v>
      </c>
      <c r="DC1" s="35" t="s">
        <v>50</v>
      </c>
      <c r="DD1" s="35" t="s">
        <v>50</v>
      </c>
      <c r="DE1" s="35" t="s">
        <v>50</v>
      </c>
      <c r="DF1" s="35" t="s">
        <v>50</v>
      </c>
      <c r="DG1" s="35" t="s">
        <v>50</v>
      </c>
      <c r="DH1" s="35" t="s">
        <v>50</v>
      </c>
      <c r="DI1" s="35" t="s">
        <v>50</v>
      </c>
      <c r="DJ1" s="35" t="s">
        <v>50</v>
      </c>
      <c r="DK1" s="35" t="s">
        <v>50</v>
      </c>
      <c r="DL1" s="35" t="s">
        <v>50</v>
      </c>
      <c r="DM1" s="35" t="s">
        <v>50</v>
      </c>
      <c r="DN1" s="35" t="s">
        <v>50</v>
      </c>
      <c r="DO1" s="35" t="s">
        <v>50</v>
      </c>
      <c r="DP1" s="35" t="s">
        <v>50</v>
      </c>
      <c r="DQ1" s="35" t="s">
        <v>50</v>
      </c>
    </row>
    <row r="2" spans="1:121" s="35" customFormat="1" x14ac:dyDescent="0.25">
      <c r="A2" s="35">
        <v>0</v>
      </c>
      <c r="B2" s="35">
        <f>E2-A2</f>
        <v>4160</v>
      </c>
      <c r="C2" s="36" t="s">
        <v>15</v>
      </c>
      <c r="D2" s="37">
        <v>5807</v>
      </c>
      <c r="E2" s="35">
        <f>D2+SUM(F2:FY2)</f>
        <v>4160</v>
      </c>
      <c r="F2" s="35">
        <v>160</v>
      </c>
      <c r="G2" s="35">
        <v>13000</v>
      </c>
      <c r="H2" s="35">
        <v>-3000</v>
      </c>
      <c r="I2" s="35">
        <v>-1000</v>
      </c>
      <c r="J2" s="35">
        <v>-1000</v>
      </c>
      <c r="K2" s="35">
        <v>-2000</v>
      </c>
      <c r="L2" s="35">
        <v>-1000</v>
      </c>
      <c r="M2" s="35">
        <v>-200</v>
      </c>
      <c r="N2" s="35">
        <v>8060</v>
      </c>
      <c r="O2" s="35">
        <v>2100</v>
      </c>
      <c r="P2" s="35">
        <v>-330</v>
      </c>
      <c r="Q2" s="35">
        <v>-15000</v>
      </c>
      <c r="R2" s="35">
        <v>-500</v>
      </c>
      <c r="S2" s="35">
        <v>-250</v>
      </c>
      <c r="T2" s="35">
        <v>1652</v>
      </c>
      <c r="U2" s="35">
        <v>-1300</v>
      </c>
      <c r="V2" s="35">
        <v>-352</v>
      </c>
      <c r="W2" s="35">
        <v>3490</v>
      </c>
      <c r="X2" s="35">
        <v>-720</v>
      </c>
      <c r="Y2" s="35">
        <v>2000</v>
      </c>
      <c r="Z2" s="35">
        <v>-1000</v>
      </c>
      <c r="AA2" s="35">
        <v>-1652</v>
      </c>
      <c r="AB2" s="35">
        <v>-800</v>
      </c>
      <c r="AC2" s="35">
        <v>-400</v>
      </c>
      <c r="AD2" s="35">
        <v>-120</v>
      </c>
      <c r="AE2" s="35">
        <v>-200</v>
      </c>
      <c r="AF2" s="35">
        <v>-140</v>
      </c>
      <c r="AG2" s="35">
        <v>-150</v>
      </c>
      <c r="AH2" s="35">
        <v>-20</v>
      </c>
      <c r="AI2" s="35">
        <v>-200</v>
      </c>
      <c r="AJ2" s="35">
        <v>5000</v>
      </c>
      <c r="AK2" s="35">
        <v>-500</v>
      </c>
      <c r="AL2" s="35">
        <v>-2200</v>
      </c>
      <c r="AM2" s="35">
        <v>-70</v>
      </c>
      <c r="AN2" s="35">
        <v>-350</v>
      </c>
      <c r="AO2" s="35">
        <v>-400</v>
      </c>
      <c r="AP2" s="35">
        <v>-270</v>
      </c>
      <c r="AQ2" s="35">
        <v>-100</v>
      </c>
      <c r="AR2" s="35">
        <v>-160</v>
      </c>
      <c r="AS2" s="35">
        <v>-130</v>
      </c>
      <c r="AT2" s="35">
        <v>-80</v>
      </c>
      <c r="AU2" s="35">
        <v>-50</v>
      </c>
      <c r="AV2" s="35">
        <v>-318</v>
      </c>
      <c r="AW2" s="35">
        <v>-2753.4</v>
      </c>
      <c r="AX2" s="35">
        <v>-100</v>
      </c>
      <c r="AY2" s="35">
        <v>-100</v>
      </c>
      <c r="AZ2" s="35">
        <v>1250</v>
      </c>
      <c r="BA2" s="35">
        <v>-285</v>
      </c>
      <c r="BB2" s="35">
        <v>-300</v>
      </c>
      <c r="BC2" s="35">
        <v>3500</v>
      </c>
      <c r="BD2" s="35">
        <v>-220</v>
      </c>
      <c r="BE2" s="35">
        <v>2276</v>
      </c>
      <c r="BF2" s="35">
        <v>-2303.6</v>
      </c>
      <c r="BG2" s="35">
        <v>1500</v>
      </c>
      <c r="BH2" s="35">
        <v>-7000</v>
      </c>
      <c r="BI2" s="35">
        <v>-80</v>
      </c>
      <c r="BJ2" s="35">
        <v>-650</v>
      </c>
      <c r="BK2" s="35">
        <v>6000</v>
      </c>
      <c r="BL2" s="35">
        <v>5000</v>
      </c>
      <c r="BM2" s="35">
        <v>-500</v>
      </c>
      <c r="BN2" s="35">
        <v>-1000</v>
      </c>
      <c r="BO2" s="35">
        <v>-2000</v>
      </c>
      <c r="BP2" s="35">
        <v>-2850</v>
      </c>
      <c r="BQ2" s="35">
        <v>-3000</v>
      </c>
      <c r="BR2" s="35">
        <v>200</v>
      </c>
      <c r="BS2" s="35">
        <v>-500</v>
      </c>
      <c r="BT2" s="35">
        <v>609</v>
      </c>
      <c r="BU2" s="35">
        <v>-2000</v>
      </c>
      <c r="BV2" s="35">
        <v>13500</v>
      </c>
      <c r="BW2" s="35">
        <v>-500</v>
      </c>
      <c r="BX2" s="35">
        <v>-11000</v>
      </c>
      <c r="BY2" s="35">
        <v>-740</v>
      </c>
      <c r="BZ2" s="35">
        <v>450</v>
      </c>
      <c r="CA2" s="35">
        <v>3000</v>
      </c>
      <c r="CB2" s="35">
        <v>1500</v>
      </c>
      <c r="CC2" s="35">
        <v>-200</v>
      </c>
      <c r="CD2" s="35">
        <v>-250</v>
      </c>
      <c r="CE2" s="35">
        <v>-200</v>
      </c>
      <c r="CF2" s="35">
        <v>-1000</v>
      </c>
      <c r="CG2" s="35">
        <v>-1000</v>
      </c>
      <c r="CH2" s="35">
        <v>2000</v>
      </c>
      <c r="CI2" s="35">
        <v>-1400</v>
      </c>
    </row>
    <row r="3" spans="1:121" s="35" customFormat="1" x14ac:dyDescent="0.25">
      <c r="C3" s="36" t="s">
        <v>0</v>
      </c>
      <c r="D3" s="37">
        <v>53150</v>
      </c>
      <c r="E3" s="35">
        <f t="shared" ref="E3:E33" si="0">D3+SUM(F3:FY3)</f>
        <v>53150</v>
      </c>
    </row>
    <row r="4" spans="1:121" s="35" customFormat="1" x14ac:dyDescent="0.25">
      <c r="C4" s="36" t="s">
        <v>60</v>
      </c>
      <c r="D4" s="37">
        <v>26600</v>
      </c>
      <c r="E4" s="35">
        <f t="shared" si="0"/>
        <v>26600</v>
      </c>
    </row>
    <row r="5" spans="1:121" s="35" customFormat="1" x14ac:dyDescent="0.25">
      <c r="C5" s="36" t="s">
        <v>2</v>
      </c>
      <c r="D5" s="37">
        <v>12000</v>
      </c>
      <c r="E5" s="35">
        <f t="shared" si="0"/>
        <v>12000</v>
      </c>
    </row>
    <row r="6" spans="1:121" s="35" customFormat="1" x14ac:dyDescent="0.25">
      <c r="C6" s="36" t="s">
        <v>3</v>
      </c>
      <c r="D6" s="37">
        <v>14000</v>
      </c>
      <c r="E6" s="35">
        <f t="shared" si="0"/>
        <v>14000</v>
      </c>
    </row>
    <row r="7" spans="1:121" s="35" customFormat="1" x14ac:dyDescent="0.25">
      <c r="C7" s="36" t="s">
        <v>4</v>
      </c>
      <c r="D7" s="37">
        <v>4000</v>
      </c>
      <c r="E7" s="35">
        <f t="shared" si="0"/>
        <v>0</v>
      </c>
      <c r="F7" s="35">
        <v>-2500</v>
      </c>
      <c r="G7" s="35">
        <v>-1500</v>
      </c>
    </row>
    <row r="8" spans="1:121" s="35" customFormat="1" x14ac:dyDescent="0.25">
      <c r="C8" s="36" t="s">
        <v>25</v>
      </c>
      <c r="D8" s="37">
        <v>2000</v>
      </c>
      <c r="E8" s="35">
        <f t="shared" si="0"/>
        <v>0</v>
      </c>
      <c r="F8" s="35">
        <v>-2000</v>
      </c>
    </row>
    <row r="9" spans="1:121" s="35" customFormat="1" x14ac:dyDescent="0.25">
      <c r="C9" s="36" t="s">
        <v>26</v>
      </c>
      <c r="D9" s="37">
        <v>8400</v>
      </c>
      <c r="E9" s="35">
        <f t="shared" si="0"/>
        <v>10400</v>
      </c>
      <c r="F9" s="35">
        <v>1000</v>
      </c>
      <c r="G9" s="35">
        <v>1000</v>
      </c>
    </row>
    <row r="10" spans="1:121" s="35" customFormat="1" x14ac:dyDescent="0.25">
      <c r="C10" s="36" t="s">
        <v>5</v>
      </c>
      <c r="D10" s="37">
        <v>1600</v>
      </c>
      <c r="E10" s="35">
        <f t="shared" si="0"/>
        <v>1150</v>
      </c>
      <c r="F10" s="35">
        <v>-450</v>
      </c>
    </row>
    <row r="11" spans="1:121" s="35" customFormat="1" x14ac:dyDescent="0.25">
      <c r="C11" s="36" t="s">
        <v>6</v>
      </c>
      <c r="D11" s="37">
        <v>2500</v>
      </c>
      <c r="E11" s="35">
        <f t="shared" si="0"/>
        <v>0</v>
      </c>
      <c r="F11" s="35">
        <v>-2500</v>
      </c>
    </row>
    <row r="12" spans="1:121" s="35" customFormat="1" x14ac:dyDescent="0.25">
      <c r="C12" s="36" t="s">
        <v>27</v>
      </c>
      <c r="D12" s="37">
        <v>1300</v>
      </c>
      <c r="E12" s="35">
        <f t="shared" si="0"/>
        <v>1300</v>
      </c>
    </row>
    <row r="13" spans="1:121" s="35" customFormat="1" x14ac:dyDescent="0.25">
      <c r="C13" s="36" t="s">
        <v>11</v>
      </c>
      <c r="D13" s="37">
        <v>1000</v>
      </c>
      <c r="E13" s="35">
        <f t="shared" si="0"/>
        <v>1000</v>
      </c>
    </row>
    <row r="14" spans="1:121" s="35" customFormat="1" x14ac:dyDescent="0.25">
      <c r="C14" s="36" t="s">
        <v>7</v>
      </c>
      <c r="D14" s="37">
        <v>650</v>
      </c>
      <c r="E14" s="35">
        <f t="shared" si="0"/>
        <v>650</v>
      </c>
    </row>
    <row r="15" spans="1:121" s="35" customFormat="1" x14ac:dyDescent="0.25">
      <c r="C15" s="36" t="s">
        <v>28</v>
      </c>
      <c r="D15" s="37">
        <v>400</v>
      </c>
      <c r="E15" s="35">
        <f t="shared" si="0"/>
        <v>400</v>
      </c>
    </row>
    <row r="16" spans="1:121" s="35" customFormat="1" x14ac:dyDescent="0.25">
      <c r="C16" s="36" t="s">
        <v>29</v>
      </c>
      <c r="D16" s="37">
        <v>250</v>
      </c>
      <c r="E16" s="35">
        <f t="shared" si="0"/>
        <v>250</v>
      </c>
    </row>
    <row r="17" spans="3:18" s="35" customFormat="1" x14ac:dyDescent="0.25">
      <c r="C17" s="36" t="s">
        <v>8</v>
      </c>
      <c r="D17" s="37">
        <v>18170</v>
      </c>
      <c r="E17" s="35">
        <f t="shared" si="0"/>
        <v>75</v>
      </c>
      <c r="F17" s="35">
        <v>330</v>
      </c>
      <c r="G17" s="35">
        <v>80</v>
      </c>
      <c r="H17" s="35">
        <v>50</v>
      </c>
      <c r="I17" s="35">
        <v>15</v>
      </c>
      <c r="J17" s="35">
        <v>100</v>
      </c>
      <c r="K17" s="35">
        <v>40</v>
      </c>
      <c r="L17" s="35">
        <v>-1280</v>
      </c>
      <c r="M17" s="35">
        <v>270</v>
      </c>
      <c r="N17" s="35">
        <v>100</v>
      </c>
      <c r="O17" s="35">
        <v>50</v>
      </c>
      <c r="P17" s="35">
        <v>70</v>
      </c>
      <c r="Q17" s="35">
        <v>80</v>
      </c>
      <c r="R17" s="35">
        <v>-18000</v>
      </c>
    </row>
    <row r="18" spans="3:18" s="35" customFormat="1" x14ac:dyDescent="0.25">
      <c r="C18" s="36" t="s">
        <v>9</v>
      </c>
      <c r="D18" s="37">
        <v>16525</v>
      </c>
      <c r="E18" s="35">
        <f t="shared" si="0"/>
        <v>0</v>
      </c>
      <c r="F18" s="35">
        <v>250</v>
      </c>
      <c r="G18" s="35">
        <v>20</v>
      </c>
      <c r="H18" s="35">
        <v>15</v>
      </c>
      <c r="I18" s="35">
        <v>50</v>
      </c>
      <c r="J18" s="35">
        <v>40</v>
      </c>
      <c r="K18" s="35">
        <v>300</v>
      </c>
      <c r="L18" s="35">
        <v>20</v>
      </c>
      <c r="M18" s="35">
        <v>-1220</v>
      </c>
      <c r="N18" s="35">
        <v>160</v>
      </c>
      <c r="O18" s="35">
        <v>50</v>
      </c>
      <c r="P18" s="35">
        <v>-16210</v>
      </c>
    </row>
    <row r="19" spans="3:18" s="35" customFormat="1" x14ac:dyDescent="0.25">
      <c r="C19" s="36" t="s">
        <v>22</v>
      </c>
      <c r="D19" s="37">
        <v>13650</v>
      </c>
      <c r="E19" s="35">
        <f t="shared" si="0"/>
        <v>30250</v>
      </c>
      <c r="F19" s="35">
        <v>15000</v>
      </c>
      <c r="G19" s="35">
        <v>150</v>
      </c>
      <c r="H19" s="35">
        <v>100</v>
      </c>
      <c r="I19" s="35">
        <v>250</v>
      </c>
      <c r="J19" s="35">
        <v>650</v>
      </c>
      <c r="K19" s="35">
        <v>250</v>
      </c>
      <c r="L19" s="35">
        <v>200</v>
      </c>
    </row>
    <row r="20" spans="3:18" s="35" customFormat="1" x14ac:dyDescent="0.25">
      <c r="C20" s="36" t="s">
        <v>10</v>
      </c>
      <c r="D20" s="37">
        <v>24086</v>
      </c>
      <c r="E20" s="35">
        <f t="shared" si="0"/>
        <v>25659</v>
      </c>
      <c r="F20" s="35">
        <v>200</v>
      </c>
      <c r="G20" s="35">
        <v>450</v>
      </c>
      <c r="H20" s="35">
        <v>120</v>
      </c>
      <c r="I20" s="35">
        <v>-800</v>
      </c>
      <c r="J20" s="35">
        <v>400</v>
      </c>
      <c r="K20" s="35">
        <v>100</v>
      </c>
      <c r="L20" s="35">
        <v>180</v>
      </c>
      <c r="M20" s="35">
        <v>50</v>
      </c>
      <c r="N20" s="35">
        <v>88</v>
      </c>
      <c r="O20" s="35">
        <v>285</v>
      </c>
      <c r="P20" s="35">
        <v>500</v>
      </c>
    </row>
    <row r="21" spans="3:18" s="35" customFormat="1" x14ac:dyDescent="0.25">
      <c r="C21" s="36" t="s">
        <v>23</v>
      </c>
      <c r="D21" s="37">
        <v>-352</v>
      </c>
      <c r="E21" s="35">
        <f t="shared" si="0"/>
        <v>0</v>
      </c>
      <c r="F21" s="35">
        <v>352</v>
      </c>
    </row>
    <row r="22" spans="3:18" s="35" customFormat="1" x14ac:dyDescent="0.25">
      <c r="C22" s="36" t="s">
        <v>24</v>
      </c>
      <c r="D22" s="37">
        <v>18238</v>
      </c>
      <c r="E22" s="35">
        <f t="shared" si="0"/>
        <v>18538</v>
      </c>
      <c r="F22" s="35">
        <v>300</v>
      </c>
    </row>
    <row r="23" spans="3:18" s="35" customFormat="1" x14ac:dyDescent="0.25">
      <c r="C23" s="36" t="s">
        <v>12</v>
      </c>
      <c r="D23" s="37">
        <v>1000</v>
      </c>
      <c r="E23" s="35">
        <f t="shared" si="0"/>
        <v>1000</v>
      </c>
    </row>
    <row r="24" spans="3:18" s="35" customFormat="1" x14ac:dyDescent="0.25">
      <c r="C24" s="36" t="s">
        <v>54</v>
      </c>
      <c r="D24" s="37">
        <v>0</v>
      </c>
      <c r="E24" s="35">
        <f t="shared" si="0"/>
        <v>4000</v>
      </c>
      <c r="F24" s="35">
        <v>2000</v>
      </c>
      <c r="G24" s="35">
        <v>2000</v>
      </c>
    </row>
    <row r="25" spans="3:18" s="35" customFormat="1" x14ac:dyDescent="0.25">
      <c r="C25" s="36" t="s">
        <v>14</v>
      </c>
      <c r="D25" s="37">
        <v>4030</v>
      </c>
      <c r="E25" s="35">
        <f t="shared" si="0"/>
        <v>540</v>
      </c>
      <c r="F25" s="35">
        <v>-3490</v>
      </c>
    </row>
    <row r="26" spans="3:18" s="35" customFormat="1" x14ac:dyDescent="0.25">
      <c r="C26" s="36" t="s">
        <v>20</v>
      </c>
      <c r="D26" s="37">
        <v>200</v>
      </c>
      <c r="E26" s="35">
        <f t="shared" si="0"/>
        <v>200</v>
      </c>
    </row>
    <row r="27" spans="3:18" s="35" customFormat="1" x14ac:dyDescent="0.25">
      <c r="C27" s="36" t="s">
        <v>38</v>
      </c>
      <c r="D27" s="37">
        <v>260</v>
      </c>
      <c r="E27" s="35">
        <f t="shared" si="0"/>
        <v>260</v>
      </c>
    </row>
    <row r="28" spans="3:18" s="35" customFormat="1" x14ac:dyDescent="0.25">
      <c r="C28" s="36" t="s">
        <v>30</v>
      </c>
      <c r="D28" s="37">
        <v>10600</v>
      </c>
      <c r="E28" s="35">
        <f t="shared" si="0"/>
        <v>21000</v>
      </c>
      <c r="F28" s="35">
        <v>800</v>
      </c>
      <c r="G28" s="35">
        <v>200</v>
      </c>
      <c r="H28" s="35">
        <v>7000</v>
      </c>
      <c r="I28" s="35">
        <v>500</v>
      </c>
      <c r="J28" s="35">
        <v>500</v>
      </c>
      <c r="K28" s="35">
        <v>1200</v>
      </c>
      <c r="L28" s="35">
        <v>200</v>
      </c>
    </row>
    <row r="29" spans="3:18" s="35" customFormat="1" x14ac:dyDescent="0.25">
      <c r="C29" s="36" t="s">
        <v>31</v>
      </c>
      <c r="D29" s="37">
        <v>12154</v>
      </c>
      <c r="E29" s="35">
        <f t="shared" si="0"/>
        <v>15424</v>
      </c>
      <c r="F29" s="35">
        <v>2240</v>
      </c>
      <c r="G29" s="35">
        <v>200</v>
      </c>
      <c r="H29" s="35">
        <v>200</v>
      </c>
      <c r="I29" s="35">
        <v>-500</v>
      </c>
      <c r="J29" s="35">
        <v>70</v>
      </c>
      <c r="K29" s="35">
        <v>350</v>
      </c>
      <c r="L29" s="35">
        <v>130</v>
      </c>
      <c r="M29" s="35">
        <v>80</v>
      </c>
      <c r="N29" s="35">
        <v>500</v>
      </c>
    </row>
    <row r="30" spans="3:18" s="35" customFormat="1" x14ac:dyDescent="0.25">
      <c r="C30" s="36" t="s">
        <v>32</v>
      </c>
      <c r="D30" s="37">
        <v>9000</v>
      </c>
      <c r="E30" s="35">
        <f t="shared" si="0"/>
        <v>11000</v>
      </c>
      <c r="F30" s="35">
        <v>2000</v>
      </c>
    </row>
    <row r="31" spans="3:18" s="35" customFormat="1" x14ac:dyDescent="0.25">
      <c r="C31" s="36" t="s">
        <v>61</v>
      </c>
      <c r="D31" s="37">
        <v>24000</v>
      </c>
      <c r="E31" s="35">
        <f t="shared" si="0"/>
        <v>16000</v>
      </c>
      <c r="F31" s="35">
        <v>-5000</v>
      </c>
      <c r="G31" s="35">
        <v>-3000</v>
      </c>
    </row>
    <row r="32" spans="3:18" s="35" customFormat="1" x14ac:dyDescent="0.25">
      <c r="C32" s="36" t="s">
        <v>18</v>
      </c>
      <c r="D32" s="37">
        <v>200</v>
      </c>
      <c r="E32" s="35">
        <f t="shared" si="0"/>
        <v>1800</v>
      </c>
      <c r="F32" s="35">
        <v>100</v>
      </c>
      <c r="G32" s="35">
        <v>500</v>
      </c>
      <c r="H32" s="35">
        <v>1000</v>
      </c>
    </row>
    <row r="33" spans="1:249" s="35" customFormat="1" x14ac:dyDescent="0.25">
      <c r="C33" s="36" t="s">
        <v>56</v>
      </c>
      <c r="D33" s="37">
        <v>1200</v>
      </c>
      <c r="E33" s="35">
        <f t="shared" si="0"/>
        <v>0</v>
      </c>
      <c r="F33" s="35">
        <v>-200</v>
      </c>
      <c r="G33" s="35">
        <v>-500</v>
      </c>
      <c r="H33" s="35">
        <v>-500</v>
      </c>
    </row>
    <row r="34" spans="1:249" ht="16.149999999999999" customHeight="1" x14ac:dyDescent="0.25">
      <c r="C34" s="36" t="s">
        <v>53</v>
      </c>
      <c r="D34" s="37">
        <v>0</v>
      </c>
      <c r="E34" s="35">
        <f>D34+SUM(F34:FY34)</f>
        <v>500</v>
      </c>
      <c r="F34" s="45">
        <v>500</v>
      </c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/>
      <c r="DZ34" s="46"/>
      <c r="EA34" s="46"/>
      <c r="EB34" s="46"/>
      <c r="EC34" s="46"/>
      <c r="ED34" s="46"/>
      <c r="EE34" s="46"/>
      <c r="EF34" s="46"/>
      <c r="EG34" s="46"/>
      <c r="EH34" s="46"/>
      <c r="EI34" s="46"/>
      <c r="EJ34" s="46"/>
      <c r="EK34" s="46"/>
      <c r="EL34" s="46"/>
      <c r="EM34" s="46"/>
      <c r="EN34" s="46"/>
      <c r="EO34" s="46"/>
      <c r="EP34" s="46"/>
      <c r="EQ34" s="46"/>
      <c r="ER34" s="46"/>
      <c r="ES34" s="46"/>
      <c r="ET34" s="46"/>
      <c r="EU34" s="46"/>
      <c r="EV34" s="46"/>
      <c r="EW34" s="46"/>
      <c r="EX34" s="46"/>
      <c r="EY34" s="46"/>
      <c r="EZ34" s="46"/>
      <c r="FA34" s="46"/>
      <c r="FB34" s="46"/>
      <c r="FC34" s="46"/>
      <c r="FD34" s="46"/>
      <c r="FE34" s="46"/>
      <c r="FF34" s="46"/>
      <c r="FG34" s="46"/>
      <c r="FH34" s="46"/>
      <c r="FI34" s="46"/>
      <c r="FJ34" s="46"/>
      <c r="FK34" s="46"/>
      <c r="FL34" s="46"/>
      <c r="FM34" s="46"/>
      <c r="FN34" s="46"/>
      <c r="FO34" s="46"/>
      <c r="FP34" s="46"/>
      <c r="FQ34" s="46"/>
      <c r="FR34" s="46"/>
      <c r="FS34" s="46"/>
      <c r="FT34" s="46"/>
      <c r="FU34" s="46"/>
      <c r="FV34" s="46"/>
      <c r="FW34" s="46"/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  <c r="GM34" s="46"/>
      <c r="GN34" s="46"/>
      <c r="GO34" s="46"/>
      <c r="GP34" s="46"/>
      <c r="GQ34" s="46"/>
      <c r="GR34" s="46"/>
      <c r="GS34" s="46"/>
      <c r="GT34" s="46"/>
      <c r="GU34" s="46"/>
      <c r="GV34" s="46"/>
      <c r="GW34" s="46"/>
      <c r="GX34" s="46"/>
      <c r="GY34" s="46"/>
      <c r="GZ34" s="46"/>
      <c r="HA34" s="46"/>
      <c r="HB34" s="46"/>
      <c r="HC34" s="46"/>
      <c r="HD34" s="46"/>
      <c r="HE34" s="46"/>
      <c r="HF34" s="46"/>
      <c r="HG34" s="46"/>
      <c r="HH34" s="46"/>
      <c r="HI34" s="46"/>
      <c r="HJ34" s="46"/>
      <c r="HK34" s="46"/>
      <c r="HL34" s="46"/>
      <c r="HM34" s="46"/>
      <c r="HN34" s="46"/>
      <c r="HO34" s="46"/>
      <c r="HP34" s="46"/>
      <c r="HQ34" s="46"/>
      <c r="HR34" s="46"/>
      <c r="HS34" s="46"/>
      <c r="HT34" s="46"/>
      <c r="HU34" s="46"/>
      <c r="HV34" s="46"/>
      <c r="HW34" s="46"/>
      <c r="HX34" s="46"/>
      <c r="HY34" s="46"/>
      <c r="HZ34" s="46"/>
      <c r="IA34" s="46"/>
      <c r="IB34" s="46"/>
      <c r="IC34" s="46"/>
      <c r="ID34" s="46"/>
      <c r="IE34" s="46"/>
      <c r="IF34" s="46"/>
      <c r="IG34" s="46"/>
      <c r="IH34" s="46"/>
      <c r="II34" s="46"/>
      <c r="IJ34" s="46"/>
      <c r="IK34" s="46"/>
      <c r="IL34" s="46"/>
      <c r="IM34" s="46"/>
      <c r="IN34" s="46"/>
      <c r="IO34" s="46"/>
    </row>
    <row r="35" spans="1:249" ht="18" customHeight="1" x14ac:dyDescent="0.25">
      <c r="C35" s="36" t="s">
        <v>59</v>
      </c>
      <c r="D35" s="37">
        <v>10500</v>
      </c>
      <c r="E35" s="35">
        <f>D35+SUM(F35:CK35)</f>
        <v>10700</v>
      </c>
      <c r="F35" s="45">
        <v>200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  <c r="CY35" s="46"/>
      <c r="CZ35" s="46"/>
      <c r="DA35" s="46"/>
      <c r="DB35" s="46"/>
      <c r="DC35" s="46"/>
      <c r="DD35" s="46"/>
      <c r="DE35" s="46"/>
      <c r="DF35" s="46"/>
      <c r="DG35" s="46"/>
      <c r="DH35" s="46"/>
      <c r="DI35" s="46"/>
      <c r="DJ35" s="46"/>
      <c r="DK35" s="46"/>
      <c r="DL35" s="46"/>
      <c r="DM35" s="46"/>
      <c r="DN35" s="46"/>
      <c r="DO35" s="46"/>
      <c r="DP35" s="46"/>
      <c r="DQ35" s="46"/>
      <c r="DR35" s="46"/>
      <c r="DS35" s="46"/>
      <c r="DT35" s="46"/>
      <c r="DU35" s="46"/>
      <c r="DV35" s="46"/>
      <c r="DW35" s="46"/>
      <c r="DX35" s="46"/>
      <c r="DY35" s="46"/>
      <c r="DZ35" s="46"/>
      <c r="EA35" s="46"/>
      <c r="EB35" s="46"/>
      <c r="EC35" s="46"/>
      <c r="ED35" s="46"/>
      <c r="EE35" s="46"/>
      <c r="EF35" s="46"/>
      <c r="EG35" s="46"/>
      <c r="EH35" s="46"/>
      <c r="EI35" s="46"/>
      <c r="EJ35" s="46"/>
      <c r="EK35" s="46"/>
      <c r="EL35" s="46"/>
      <c r="EM35" s="46"/>
      <c r="EN35" s="46"/>
      <c r="EO35" s="46"/>
      <c r="EP35" s="46"/>
      <c r="EQ35" s="46"/>
      <c r="ER35" s="46"/>
      <c r="ES35" s="46"/>
      <c r="ET35" s="46"/>
      <c r="EU35" s="46"/>
      <c r="EV35" s="46"/>
      <c r="EW35" s="46"/>
      <c r="EX35" s="46"/>
      <c r="EY35" s="46"/>
      <c r="EZ35" s="46"/>
      <c r="FA35" s="46"/>
      <c r="FB35" s="46"/>
      <c r="FC35" s="46"/>
      <c r="FD35" s="46"/>
      <c r="FE35" s="46"/>
      <c r="FF35" s="46"/>
      <c r="FG35" s="46"/>
      <c r="FH35" s="46"/>
      <c r="FI35" s="46"/>
      <c r="FJ35" s="46"/>
      <c r="FK35" s="46"/>
      <c r="FL35" s="46"/>
      <c r="FM35" s="46"/>
      <c r="FN35" s="46"/>
      <c r="FO35" s="46"/>
      <c r="FP35" s="46"/>
      <c r="FQ35" s="46"/>
      <c r="FR35" s="46"/>
      <c r="FS35" s="46"/>
      <c r="FT35" s="46"/>
      <c r="FU35" s="46"/>
      <c r="FV35" s="46"/>
      <c r="FW35" s="46"/>
      <c r="FX35" s="46"/>
      <c r="FY35" s="46"/>
      <c r="FZ35" s="46"/>
      <c r="GA35" s="46"/>
      <c r="GB35" s="46"/>
      <c r="GC35" s="46"/>
      <c r="GD35" s="46"/>
      <c r="GE35" s="46"/>
      <c r="GF35" s="46"/>
      <c r="GG35" s="46"/>
      <c r="GH35" s="46"/>
      <c r="GI35" s="46"/>
      <c r="GJ35" s="46"/>
      <c r="GK35" s="46"/>
      <c r="GL35" s="46"/>
      <c r="GM35" s="46"/>
      <c r="GN35" s="46"/>
      <c r="GO35" s="46"/>
      <c r="GP35" s="46"/>
      <c r="GQ35" s="46"/>
      <c r="GR35" s="46"/>
      <c r="GS35" s="46"/>
      <c r="GT35" s="46"/>
      <c r="GU35" s="46"/>
      <c r="GV35" s="46"/>
      <c r="GW35" s="46"/>
      <c r="GX35" s="46"/>
      <c r="GY35" s="46"/>
      <c r="GZ35" s="46"/>
      <c r="HA35" s="46"/>
      <c r="HB35" s="46"/>
      <c r="HC35" s="46"/>
      <c r="HD35" s="46"/>
      <c r="HE35" s="46"/>
      <c r="HF35" s="46"/>
      <c r="HG35" s="46"/>
      <c r="HH35" s="46"/>
      <c r="HI35" s="46"/>
      <c r="HJ35" s="46"/>
      <c r="HK35" s="46"/>
      <c r="HL35" s="46"/>
      <c r="HM35" s="46"/>
      <c r="HN35" s="46"/>
      <c r="HO35" s="46"/>
      <c r="HP35" s="46"/>
      <c r="HQ35" s="46"/>
      <c r="HR35" s="46"/>
      <c r="HS35" s="46"/>
      <c r="HT35" s="46"/>
      <c r="HU35" s="46"/>
      <c r="HV35" s="46"/>
      <c r="HW35" s="46"/>
      <c r="HX35" s="46"/>
      <c r="HY35" s="46"/>
      <c r="HZ35" s="46"/>
      <c r="IA35" s="46"/>
      <c r="IB35" s="46"/>
      <c r="IC35" s="46"/>
      <c r="ID35" s="46"/>
      <c r="IE35" s="46"/>
      <c r="IF35" s="46"/>
      <c r="IG35" s="46"/>
      <c r="IH35" s="46"/>
      <c r="II35" s="46"/>
      <c r="IJ35" s="46"/>
      <c r="IK35" s="46"/>
      <c r="IL35" s="46"/>
      <c r="IM35" s="46"/>
      <c r="IN35" s="46"/>
      <c r="IO35" s="46"/>
    </row>
    <row r="36" spans="1:249" ht="18" customHeight="1" x14ac:dyDescent="0.25">
      <c r="C36" s="36" t="s">
        <v>57</v>
      </c>
      <c r="D36" s="37">
        <v>6000</v>
      </c>
      <c r="E36" s="45">
        <f>D36+SUM(F36:CC36)</f>
        <v>4000</v>
      </c>
      <c r="F36" s="48">
        <v>-2000</v>
      </c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6"/>
      <c r="CR36" s="46"/>
      <c r="CS36" s="46"/>
      <c r="CT36" s="46"/>
      <c r="CU36" s="46"/>
      <c r="CV36" s="46"/>
      <c r="CW36" s="46"/>
      <c r="CX36" s="46"/>
      <c r="CY36" s="46"/>
      <c r="CZ36" s="46"/>
      <c r="DA36" s="46"/>
      <c r="DB36" s="46"/>
      <c r="DC36" s="46"/>
      <c r="DD36" s="46"/>
      <c r="DE36" s="46"/>
      <c r="DF36" s="46"/>
      <c r="DG36" s="46"/>
      <c r="DH36" s="46"/>
      <c r="DI36" s="46"/>
      <c r="DJ36" s="46"/>
      <c r="DK36" s="46"/>
      <c r="DL36" s="46"/>
      <c r="DM36" s="46"/>
      <c r="DN36" s="46"/>
      <c r="DO36" s="46"/>
      <c r="DP36" s="46"/>
      <c r="DQ36" s="46"/>
      <c r="DR36" s="46"/>
      <c r="DS36" s="46"/>
      <c r="DT36" s="46"/>
      <c r="DU36" s="46"/>
      <c r="DV36" s="46"/>
      <c r="DW36" s="46"/>
      <c r="DX36" s="46"/>
      <c r="DY36" s="46"/>
      <c r="DZ36" s="46"/>
      <c r="EA36" s="46"/>
      <c r="EB36" s="46"/>
      <c r="EC36" s="46"/>
      <c r="ED36" s="46"/>
      <c r="EE36" s="46"/>
      <c r="EF36" s="46"/>
      <c r="EG36" s="46"/>
      <c r="EH36" s="46"/>
      <c r="EI36" s="46"/>
      <c r="EJ36" s="46"/>
      <c r="EK36" s="46"/>
      <c r="EL36" s="46"/>
      <c r="EM36" s="46"/>
      <c r="EN36" s="46"/>
      <c r="EO36" s="46"/>
      <c r="EP36" s="46"/>
      <c r="EQ36" s="46"/>
      <c r="ER36" s="46"/>
      <c r="ES36" s="46"/>
      <c r="ET36" s="46"/>
      <c r="EU36" s="46"/>
      <c r="EV36" s="46"/>
      <c r="EW36" s="46"/>
      <c r="EX36" s="46"/>
      <c r="EY36" s="46"/>
      <c r="EZ36" s="46"/>
      <c r="FA36" s="46"/>
      <c r="FB36" s="46"/>
      <c r="FC36" s="46"/>
      <c r="FD36" s="46"/>
      <c r="FE36" s="46"/>
      <c r="FF36" s="46"/>
      <c r="FG36" s="46"/>
      <c r="FH36" s="46"/>
      <c r="FI36" s="46"/>
      <c r="FJ36" s="46"/>
      <c r="FK36" s="46"/>
      <c r="FL36" s="46"/>
      <c r="FM36" s="46"/>
      <c r="FN36" s="46"/>
      <c r="FO36" s="46"/>
      <c r="FP36" s="46"/>
      <c r="FQ36" s="46"/>
      <c r="FR36" s="46"/>
      <c r="FS36" s="46"/>
      <c r="FT36" s="46"/>
      <c r="FU36" s="46"/>
      <c r="FV36" s="46"/>
      <c r="FW36" s="46"/>
      <c r="FX36" s="46"/>
      <c r="FY36" s="46"/>
      <c r="FZ36" s="46"/>
      <c r="GA36" s="46"/>
      <c r="GB36" s="46"/>
      <c r="GC36" s="46"/>
      <c r="GD36" s="46"/>
      <c r="GE36" s="46"/>
      <c r="GF36" s="46"/>
      <c r="GG36" s="46"/>
      <c r="GH36" s="46"/>
      <c r="GI36" s="46"/>
      <c r="GJ36" s="46"/>
      <c r="GK36" s="46"/>
      <c r="GL36" s="46"/>
      <c r="GM36" s="46"/>
      <c r="GN36" s="46"/>
      <c r="GO36" s="46"/>
      <c r="GP36" s="46"/>
      <c r="GQ36" s="46"/>
      <c r="GR36" s="46"/>
      <c r="GS36" s="46"/>
      <c r="GT36" s="46"/>
      <c r="GU36" s="46"/>
      <c r="GV36" s="46"/>
      <c r="GW36" s="46"/>
      <c r="GX36" s="46"/>
      <c r="GY36" s="46"/>
      <c r="GZ36" s="46"/>
      <c r="HA36" s="46"/>
      <c r="HB36" s="46"/>
      <c r="HC36" s="46"/>
      <c r="HD36" s="46"/>
      <c r="HE36" s="46"/>
      <c r="HF36" s="46"/>
      <c r="HG36" s="46"/>
      <c r="HH36" s="46"/>
      <c r="HI36" s="46"/>
      <c r="HJ36" s="46"/>
      <c r="HK36" s="46"/>
      <c r="HL36" s="46"/>
      <c r="HM36" s="46"/>
      <c r="HN36" s="46"/>
      <c r="HO36" s="46"/>
      <c r="HP36" s="46"/>
      <c r="HQ36" s="46"/>
      <c r="HR36" s="46"/>
      <c r="HS36" s="46"/>
      <c r="HT36" s="46"/>
      <c r="HU36" s="46"/>
      <c r="HV36" s="46"/>
      <c r="HW36" s="46"/>
      <c r="HX36" s="46"/>
      <c r="HY36" s="46"/>
      <c r="HZ36" s="46"/>
      <c r="IA36" s="46"/>
      <c r="IB36" s="46"/>
      <c r="IC36" s="46"/>
      <c r="ID36" s="46"/>
      <c r="IE36" s="46"/>
      <c r="IF36" s="46"/>
      <c r="IG36" s="46"/>
      <c r="IH36" s="46"/>
      <c r="II36" s="46"/>
      <c r="IJ36" s="46"/>
      <c r="IK36" s="46"/>
      <c r="IL36" s="46"/>
      <c r="IM36" s="46"/>
      <c r="IN36" s="46"/>
      <c r="IO36" s="46"/>
    </row>
    <row r="37" spans="1:249" ht="18" customHeight="1" x14ac:dyDescent="0.25">
      <c r="C37" s="36" t="s">
        <v>58</v>
      </c>
      <c r="D37" s="37">
        <v>14000</v>
      </c>
      <c r="E37" s="45">
        <f>D37+SUM(F37:CC37)</f>
        <v>14000</v>
      </c>
      <c r="F37" s="4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  <c r="CK37" s="46"/>
      <c r="CL37" s="46"/>
      <c r="CM37" s="46"/>
      <c r="CN37" s="46"/>
      <c r="CO37" s="46"/>
      <c r="CP37" s="46"/>
      <c r="CQ37" s="46"/>
      <c r="CR37" s="46"/>
      <c r="CS37" s="46"/>
      <c r="CT37" s="46"/>
      <c r="CU37" s="46"/>
      <c r="CV37" s="46"/>
      <c r="CW37" s="46"/>
      <c r="CX37" s="46"/>
      <c r="CY37" s="46"/>
      <c r="CZ37" s="46"/>
      <c r="DA37" s="46"/>
      <c r="DB37" s="46"/>
      <c r="DC37" s="46"/>
      <c r="DD37" s="46"/>
      <c r="DE37" s="46"/>
      <c r="DF37" s="46"/>
      <c r="DG37" s="46"/>
      <c r="DH37" s="46"/>
      <c r="DI37" s="46"/>
      <c r="DJ37" s="46"/>
      <c r="DK37" s="46"/>
      <c r="DL37" s="46"/>
      <c r="DM37" s="46"/>
      <c r="DN37" s="46"/>
      <c r="DO37" s="46"/>
      <c r="DP37" s="46"/>
      <c r="DQ37" s="46"/>
      <c r="DR37" s="46"/>
      <c r="DS37" s="46"/>
      <c r="DT37" s="46"/>
      <c r="DU37" s="46"/>
      <c r="DV37" s="46"/>
      <c r="DW37" s="46"/>
      <c r="DX37" s="46"/>
      <c r="DY37" s="46"/>
      <c r="DZ37" s="46"/>
      <c r="EA37" s="46"/>
      <c r="EB37" s="46"/>
      <c r="EC37" s="46"/>
      <c r="ED37" s="46"/>
      <c r="EE37" s="46"/>
      <c r="EF37" s="46"/>
      <c r="EG37" s="46"/>
      <c r="EH37" s="46"/>
      <c r="EI37" s="46"/>
      <c r="EJ37" s="46"/>
      <c r="EK37" s="46"/>
      <c r="EL37" s="46"/>
      <c r="EM37" s="46"/>
      <c r="EN37" s="46"/>
      <c r="EO37" s="46"/>
      <c r="EP37" s="46"/>
      <c r="EQ37" s="46"/>
      <c r="ER37" s="46"/>
      <c r="ES37" s="46"/>
      <c r="ET37" s="46"/>
      <c r="EU37" s="46"/>
      <c r="EV37" s="46"/>
      <c r="EW37" s="46"/>
      <c r="EX37" s="46"/>
      <c r="EY37" s="46"/>
      <c r="EZ37" s="46"/>
      <c r="FA37" s="46"/>
      <c r="FB37" s="46"/>
      <c r="FC37" s="46"/>
      <c r="FD37" s="46"/>
      <c r="FE37" s="46"/>
      <c r="FF37" s="46"/>
      <c r="FG37" s="46"/>
      <c r="FH37" s="46"/>
      <c r="FI37" s="46"/>
      <c r="FJ37" s="46"/>
      <c r="FK37" s="46"/>
      <c r="FL37" s="46"/>
      <c r="FM37" s="46"/>
      <c r="FN37" s="46"/>
      <c r="FO37" s="46"/>
      <c r="FP37" s="46"/>
      <c r="FQ37" s="46"/>
      <c r="FR37" s="46"/>
      <c r="FS37" s="46"/>
      <c r="FT37" s="46"/>
      <c r="FU37" s="46"/>
      <c r="FV37" s="46"/>
      <c r="FW37" s="46"/>
      <c r="FX37" s="46"/>
      <c r="FY37" s="46"/>
      <c r="FZ37" s="46"/>
      <c r="GA37" s="46"/>
      <c r="GB37" s="46"/>
      <c r="GC37" s="46"/>
      <c r="GD37" s="46"/>
      <c r="GE37" s="46"/>
      <c r="GF37" s="46"/>
      <c r="GG37" s="46"/>
      <c r="GH37" s="46"/>
      <c r="GI37" s="46"/>
      <c r="GJ37" s="46"/>
      <c r="GK37" s="46"/>
      <c r="GL37" s="46"/>
      <c r="GM37" s="46"/>
      <c r="GN37" s="46"/>
      <c r="GO37" s="46"/>
      <c r="GP37" s="46"/>
      <c r="GQ37" s="46"/>
      <c r="GR37" s="46"/>
      <c r="GS37" s="46"/>
      <c r="GT37" s="46"/>
      <c r="GU37" s="46"/>
      <c r="GV37" s="46"/>
      <c r="GW37" s="46"/>
      <c r="GX37" s="46"/>
      <c r="GY37" s="46"/>
      <c r="GZ37" s="46"/>
      <c r="HA37" s="46"/>
      <c r="HB37" s="46"/>
      <c r="HC37" s="46"/>
      <c r="HD37" s="46"/>
      <c r="HE37" s="46"/>
      <c r="HF37" s="46"/>
      <c r="HG37" s="46"/>
      <c r="HH37" s="46"/>
      <c r="HI37" s="46"/>
      <c r="HJ37" s="46"/>
      <c r="HK37" s="46"/>
      <c r="HL37" s="46"/>
      <c r="HM37" s="46"/>
      <c r="HN37" s="46"/>
      <c r="HO37" s="46"/>
      <c r="HP37" s="46"/>
      <c r="HQ37" s="46"/>
      <c r="HR37" s="46"/>
      <c r="HS37" s="46"/>
      <c r="HT37" s="46"/>
      <c r="HU37" s="46"/>
      <c r="HV37" s="46"/>
      <c r="HW37" s="46"/>
      <c r="HX37" s="46"/>
      <c r="HY37" s="46"/>
      <c r="HZ37" s="46"/>
      <c r="IA37" s="46"/>
      <c r="IB37" s="46"/>
      <c r="IC37" s="46"/>
      <c r="ID37" s="46"/>
      <c r="IE37" s="46"/>
      <c r="IF37" s="46"/>
      <c r="IG37" s="46"/>
      <c r="IH37" s="46"/>
      <c r="II37" s="46"/>
      <c r="IJ37" s="46"/>
      <c r="IK37" s="46"/>
      <c r="IL37" s="46"/>
      <c r="IM37" s="46"/>
      <c r="IN37" s="46"/>
      <c r="IO37" s="46"/>
    </row>
    <row r="38" spans="1:249" s="35" customFormat="1" ht="15.4" customHeight="1" x14ac:dyDescent="0.25">
      <c r="C38" s="36" t="s">
        <v>67</v>
      </c>
      <c r="D38" s="37">
        <v>20000</v>
      </c>
      <c r="E38" s="45">
        <f>D38+SUM(F38:CC38)</f>
        <v>20000</v>
      </c>
    </row>
    <row r="39" spans="1:249" ht="21" x14ac:dyDescent="0.25">
      <c r="A39" s="53" t="s">
        <v>51</v>
      </c>
      <c r="B39" s="53"/>
      <c r="C39" s="53"/>
      <c r="D39" s="43">
        <f>SUM(D2:D38)</f>
        <v>337118</v>
      </c>
      <c r="E39" s="44">
        <f>SUM(E2:E38)</f>
        <v>320006</v>
      </c>
    </row>
    <row r="40" spans="1:249" x14ac:dyDescent="0.25">
      <c r="I40" s="47" t="s">
        <v>63</v>
      </c>
      <c r="J40" s="47">
        <v>8000</v>
      </c>
      <c r="K40" s="47" t="s">
        <v>62</v>
      </c>
    </row>
    <row r="41" spans="1:249" x14ac:dyDescent="0.25">
      <c r="I41" s="47" t="s">
        <v>64</v>
      </c>
      <c r="J41" s="47"/>
      <c r="K41" s="47"/>
    </row>
    <row r="42" spans="1:249" x14ac:dyDescent="0.25">
      <c r="I42" s="47" t="s">
        <v>65</v>
      </c>
      <c r="J42" s="47"/>
      <c r="K42" s="47"/>
    </row>
  </sheetData>
  <mergeCells count="1">
    <mergeCell ref="A39:C39"/>
  </mergeCells>
  <conditionalFormatting sqref="A1:XFD33 C34:Q37 E38">
    <cfRule type="cellIs" dxfId="47" priority="2" operator="lessThan">
      <formula>0</formula>
    </cfRule>
  </conditionalFormatting>
  <conditionalFormatting sqref="A38:D38 F38:XFD38">
    <cfRule type="cellIs" dxfId="46" priority="1" operator="lessThan">
      <formula>0</formula>
    </cfRule>
  </conditionalFormatting>
  <pageMargins left="0.7" right="0.7" top="0.75" bottom="0.75" header="0.3" footer="0.3"/>
  <pageSetup paperSize="288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O19"/>
  <sheetViews>
    <sheetView workbookViewId="0">
      <selection activeCell="C7" sqref="C7"/>
    </sheetView>
  </sheetViews>
  <sheetFormatPr defaultRowHeight="15" x14ac:dyDescent="0.25"/>
  <cols>
    <col min="1" max="1" width="15.7109375" bestFit="1" customWidth="1"/>
    <col min="2" max="2" width="12" bestFit="1" customWidth="1"/>
    <col min="3" max="3" width="11.28515625" bestFit="1" customWidth="1"/>
  </cols>
  <sheetData>
    <row r="1" spans="1:119" ht="18.75" x14ac:dyDescent="0.25">
      <c r="A1" s="34" t="s">
        <v>45</v>
      </c>
      <c r="B1" s="34" t="s">
        <v>46</v>
      </c>
      <c r="C1" s="34" t="s">
        <v>47</v>
      </c>
      <c r="D1" s="38" t="s">
        <v>50</v>
      </c>
      <c r="E1" s="38" t="s">
        <v>50</v>
      </c>
      <c r="F1" s="38" t="s">
        <v>50</v>
      </c>
      <c r="G1" s="38" t="s">
        <v>50</v>
      </c>
      <c r="H1" s="38" t="s">
        <v>50</v>
      </c>
      <c r="I1" s="38" t="s">
        <v>50</v>
      </c>
      <c r="J1" s="38" t="s">
        <v>50</v>
      </c>
      <c r="K1" s="38" t="s">
        <v>50</v>
      </c>
      <c r="L1" s="38" t="s">
        <v>50</v>
      </c>
      <c r="M1" s="38" t="s">
        <v>50</v>
      </c>
      <c r="N1" s="38" t="s">
        <v>50</v>
      </c>
      <c r="O1" s="38" t="s">
        <v>50</v>
      </c>
      <c r="P1" s="38" t="s">
        <v>50</v>
      </c>
      <c r="Q1" s="38" t="s">
        <v>50</v>
      </c>
      <c r="R1" s="38" t="s">
        <v>50</v>
      </c>
      <c r="S1" s="38" t="s">
        <v>50</v>
      </c>
      <c r="T1" s="38" t="s">
        <v>50</v>
      </c>
      <c r="U1" s="38" t="s">
        <v>50</v>
      </c>
      <c r="V1" s="38" t="s">
        <v>50</v>
      </c>
      <c r="W1" s="38" t="s">
        <v>50</v>
      </c>
      <c r="X1" s="38" t="s">
        <v>50</v>
      </c>
      <c r="Y1" s="38" t="s">
        <v>50</v>
      </c>
      <c r="Z1" s="38" t="s">
        <v>50</v>
      </c>
      <c r="AA1" s="38" t="s">
        <v>50</v>
      </c>
      <c r="AB1" s="38" t="s">
        <v>50</v>
      </c>
      <c r="AC1" s="38" t="s">
        <v>50</v>
      </c>
      <c r="AD1" s="38" t="s">
        <v>50</v>
      </c>
      <c r="AE1" s="38" t="s">
        <v>50</v>
      </c>
      <c r="AF1" s="38" t="s">
        <v>50</v>
      </c>
      <c r="AG1" s="38" t="s">
        <v>50</v>
      </c>
      <c r="AH1" s="38" t="s">
        <v>50</v>
      </c>
      <c r="AI1" s="38" t="s">
        <v>50</v>
      </c>
      <c r="AJ1" s="38" t="s">
        <v>50</v>
      </c>
      <c r="AK1" s="38" t="s">
        <v>50</v>
      </c>
      <c r="AL1" s="38" t="s">
        <v>50</v>
      </c>
      <c r="AM1" s="38" t="s">
        <v>50</v>
      </c>
      <c r="AN1" s="38" t="s">
        <v>50</v>
      </c>
      <c r="AO1" s="38" t="s">
        <v>50</v>
      </c>
      <c r="AP1" s="38" t="s">
        <v>50</v>
      </c>
      <c r="AQ1" s="38" t="s">
        <v>50</v>
      </c>
      <c r="AR1" s="38" t="s">
        <v>50</v>
      </c>
      <c r="AS1" s="38" t="s">
        <v>50</v>
      </c>
      <c r="AT1" s="38" t="s">
        <v>50</v>
      </c>
      <c r="AU1" s="38" t="s">
        <v>50</v>
      </c>
      <c r="AV1" s="38" t="s">
        <v>50</v>
      </c>
      <c r="AW1" s="38" t="s">
        <v>50</v>
      </c>
      <c r="AX1" s="38" t="s">
        <v>50</v>
      </c>
      <c r="AY1" s="38" t="s">
        <v>50</v>
      </c>
      <c r="AZ1" s="38" t="s">
        <v>50</v>
      </c>
      <c r="BA1" s="38" t="s">
        <v>50</v>
      </c>
      <c r="BB1" s="38" t="s">
        <v>50</v>
      </c>
      <c r="BC1" s="38" t="s">
        <v>50</v>
      </c>
      <c r="BD1" s="38" t="s">
        <v>50</v>
      </c>
      <c r="BE1" s="38" t="s">
        <v>50</v>
      </c>
      <c r="BF1" s="38" t="s">
        <v>50</v>
      </c>
      <c r="BG1" s="38" t="s">
        <v>50</v>
      </c>
      <c r="BH1" s="38" t="s">
        <v>50</v>
      </c>
      <c r="BI1" s="38" t="s">
        <v>50</v>
      </c>
      <c r="BJ1" s="38" t="s">
        <v>50</v>
      </c>
      <c r="BK1" s="38" t="s">
        <v>50</v>
      </c>
      <c r="BL1" s="38" t="s">
        <v>50</v>
      </c>
      <c r="BM1" s="38" t="s">
        <v>50</v>
      </c>
      <c r="BN1" s="38" t="s">
        <v>50</v>
      </c>
      <c r="BO1" s="38" t="s">
        <v>50</v>
      </c>
      <c r="BP1" s="38" t="s">
        <v>50</v>
      </c>
      <c r="BQ1" s="38" t="s">
        <v>50</v>
      </c>
      <c r="BR1" s="38" t="s">
        <v>50</v>
      </c>
      <c r="BS1" s="38" t="s">
        <v>50</v>
      </c>
      <c r="BT1" s="38" t="s">
        <v>50</v>
      </c>
      <c r="BU1" s="38" t="s">
        <v>50</v>
      </c>
      <c r="BV1" s="38" t="s">
        <v>50</v>
      </c>
      <c r="BW1" s="38" t="s">
        <v>50</v>
      </c>
      <c r="BX1" s="38" t="s">
        <v>50</v>
      </c>
      <c r="BY1" s="38" t="s">
        <v>50</v>
      </c>
      <c r="BZ1" s="38" t="s">
        <v>50</v>
      </c>
      <c r="CA1" s="38" t="s">
        <v>50</v>
      </c>
      <c r="CB1" s="38" t="s">
        <v>50</v>
      </c>
      <c r="CC1" s="38" t="s">
        <v>50</v>
      </c>
      <c r="CD1" s="35" t="s">
        <v>50</v>
      </c>
      <c r="CE1" s="35" t="s">
        <v>50</v>
      </c>
      <c r="CF1" s="35" t="s">
        <v>50</v>
      </c>
      <c r="CG1" s="35" t="s">
        <v>50</v>
      </c>
      <c r="CH1" s="35" t="s">
        <v>50</v>
      </c>
      <c r="CI1" s="35" t="s">
        <v>50</v>
      </c>
      <c r="CJ1" s="35" t="s">
        <v>50</v>
      </c>
      <c r="CK1" s="35" t="s">
        <v>50</v>
      </c>
      <c r="CL1" s="35" t="s">
        <v>50</v>
      </c>
      <c r="CM1" s="35" t="s">
        <v>50</v>
      </c>
      <c r="CN1" s="35" t="s">
        <v>50</v>
      </c>
      <c r="CO1" s="35" t="s">
        <v>50</v>
      </c>
      <c r="CP1" s="35" t="s">
        <v>50</v>
      </c>
      <c r="CQ1" s="35" t="s">
        <v>50</v>
      </c>
      <c r="CR1" s="35" t="s">
        <v>50</v>
      </c>
      <c r="CS1" s="35" t="s">
        <v>50</v>
      </c>
      <c r="CT1" s="35" t="s">
        <v>50</v>
      </c>
      <c r="CU1" s="35" t="s">
        <v>50</v>
      </c>
      <c r="CV1" s="35" t="s">
        <v>50</v>
      </c>
      <c r="CW1" s="35" t="s">
        <v>50</v>
      </c>
      <c r="CX1" s="35" t="s">
        <v>50</v>
      </c>
      <c r="CY1" s="35" t="s">
        <v>50</v>
      </c>
      <c r="CZ1" s="35" t="s">
        <v>50</v>
      </c>
      <c r="DA1" s="35" t="s">
        <v>50</v>
      </c>
      <c r="DB1" s="35" t="s">
        <v>50</v>
      </c>
      <c r="DC1" s="35" t="s">
        <v>50</v>
      </c>
      <c r="DD1" s="35" t="s">
        <v>50</v>
      </c>
      <c r="DE1" s="35" t="s">
        <v>50</v>
      </c>
      <c r="DF1" s="35" t="s">
        <v>50</v>
      </c>
      <c r="DG1" s="35" t="s">
        <v>50</v>
      </c>
      <c r="DH1" s="35" t="s">
        <v>50</v>
      </c>
      <c r="DI1" s="35" t="s">
        <v>50</v>
      </c>
      <c r="DJ1" s="35" t="s">
        <v>50</v>
      </c>
      <c r="DK1" s="35" t="s">
        <v>50</v>
      </c>
      <c r="DL1" s="35" t="s">
        <v>50</v>
      </c>
      <c r="DM1" s="35" t="s">
        <v>50</v>
      </c>
      <c r="DN1" s="35" t="s">
        <v>50</v>
      </c>
      <c r="DO1" s="35" t="s">
        <v>50</v>
      </c>
    </row>
    <row r="2" spans="1:119" x14ac:dyDescent="0.25">
      <c r="A2" s="40" t="s">
        <v>33</v>
      </c>
      <c r="B2" s="37">
        <v>54539</v>
      </c>
      <c r="C2" s="35">
        <f t="shared" ref="C2:C15" si="0">B2+SUM(D2:FW2)</f>
        <v>86025</v>
      </c>
      <c r="D2" s="35">
        <v>6500</v>
      </c>
      <c r="E2" s="35">
        <v>-1000</v>
      </c>
      <c r="F2" s="35">
        <v>-2500</v>
      </c>
      <c r="G2" s="35">
        <v>8061</v>
      </c>
      <c r="H2" s="35">
        <v>250</v>
      </c>
      <c r="I2" s="35">
        <v>4175</v>
      </c>
      <c r="J2" s="35">
        <v>10000</v>
      </c>
      <c r="K2" s="35">
        <v>-1000</v>
      </c>
      <c r="L2" s="35">
        <v>-1000</v>
      </c>
      <c r="M2" s="35">
        <v>500</v>
      </c>
      <c r="N2" s="35">
        <v>7500</v>
      </c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</row>
    <row r="3" spans="1:119" x14ac:dyDescent="0.25">
      <c r="A3" s="40" t="s">
        <v>16</v>
      </c>
      <c r="B3" s="37">
        <v>40000</v>
      </c>
      <c r="C3" s="35">
        <f t="shared" si="0"/>
        <v>30000</v>
      </c>
      <c r="D3" s="35">
        <v>-3000</v>
      </c>
      <c r="E3" s="35">
        <v>-7000</v>
      </c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</row>
    <row r="4" spans="1:119" x14ac:dyDescent="0.25">
      <c r="A4" s="40" t="s">
        <v>17</v>
      </c>
      <c r="B4" s="37">
        <v>33600</v>
      </c>
      <c r="C4" s="35">
        <f t="shared" si="0"/>
        <v>33600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</row>
    <row r="5" spans="1:119" x14ac:dyDescent="0.25">
      <c r="A5" s="40" t="s">
        <v>18</v>
      </c>
      <c r="B5" s="37">
        <v>62039</v>
      </c>
      <c r="C5" s="35">
        <f t="shared" si="0"/>
        <v>84039</v>
      </c>
      <c r="D5" s="35">
        <v>6500</v>
      </c>
      <c r="E5" s="35">
        <v>10000</v>
      </c>
      <c r="F5" s="35">
        <v>-1000</v>
      </c>
      <c r="G5" s="35">
        <v>-1000</v>
      </c>
      <c r="H5" s="35">
        <v>7500</v>
      </c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</row>
    <row r="6" spans="1:119" x14ac:dyDescent="0.25">
      <c r="A6" s="40" t="s">
        <v>21</v>
      </c>
      <c r="B6" s="37">
        <v>7000</v>
      </c>
      <c r="C6" s="35">
        <f t="shared" si="0"/>
        <v>3000</v>
      </c>
      <c r="D6" s="35">
        <v>-1000</v>
      </c>
      <c r="E6" s="35">
        <v>-1000</v>
      </c>
      <c r="F6" s="35">
        <v>-1000</v>
      </c>
      <c r="G6" s="35">
        <v>-1000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</row>
    <row r="7" spans="1:119" x14ac:dyDescent="0.25">
      <c r="A7" s="40" t="s">
        <v>40</v>
      </c>
      <c r="B7" s="37">
        <v>609</v>
      </c>
      <c r="C7" s="35">
        <f t="shared" si="0"/>
        <v>609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</row>
    <row r="8" spans="1:119" x14ac:dyDescent="0.25">
      <c r="A8" s="40" t="s">
        <v>17</v>
      </c>
      <c r="B8" s="37">
        <v>49500</v>
      </c>
      <c r="C8" s="35">
        <f t="shared" si="0"/>
        <v>0</v>
      </c>
      <c r="D8" s="35">
        <v>-10000</v>
      </c>
      <c r="E8" s="35">
        <v>-10000</v>
      </c>
      <c r="F8" s="35">
        <v>-500</v>
      </c>
      <c r="G8" s="35">
        <v>-18000</v>
      </c>
      <c r="H8" s="35">
        <v>-11000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</row>
    <row r="9" spans="1:119" x14ac:dyDescent="0.25">
      <c r="A9" s="40" t="s">
        <v>43</v>
      </c>
      <c r="B9" s="37">
        <v>7200</v>
      </c>
      <c r="C9" s="35">
        <f t="shared" si="0"/>
        <v>5000</v>
      </c>
      <c r="D9" s="35">
        <v>-2200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</row>
    <row r="10" spans="1:119" x14ac:dyDescent="0.25">
      <c r="A10" s="40" t="s">
        <v>35</v>
      </c>
      <c r="B10" s="37">
        <v>110</v>
      </c>
      <c r="C10" s="35">
        <f t="shared" si="0"/>
        <v>110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</row>
    <row r="11" spans="1:119" x14ac:dyDescent="0.25">
      <c r="A11" s="40" t="s">
        <v>36</v>
      </c>
      <c r="B11" s="37">
        <v>8400</v>
      </c>
      <c r="C11" s="35">
        <f t="shared" si="0"/>
        <v>13526</v>
      </c>
      <c r="D11" s="35">
        <v>5126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</row>
    <row r="12" spans="1:119" x14ac:dyDescent="0.25">
      <c r="A12" s="40" t="s">
        <v>37</v>
      </c>
      <c r="B12" s="37">
        <v>5000</v>
      </c>
      <c r="C12" s="35">
        <f t="shared" si="0"/>
        <v>21500</v>
      </c>
      <c r="D12" s="35">
        <v>-5000</v>
      </c>
      <c r="E12" s="35">
        <v>21500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</row>
    <row r="13" spans="1:119" x14ac:dyDescent="0.25">
      <c r="A13" s="40" t="s">
        <v>55</v>
      </c>
      <c r="B13" s="37">
        <v>0</v>
      </c>
      <c r="C13" s="35">
        <v>0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</row>
    <row r="14" spans="1:119" x14ac:dyDescent="0.25">
      <c r="A14" s="40" t="s">
        <v>40</v>
      </c>
      <c r="B14" s="41">
        <v>1300</v>
      </c>
      <c r="C14" s="35">
        <f t="shared" si="0"/>
        <v>0</v>
      </c>
      <c r="D14" s="35">
        <v>-1300</v>
      </c>
      <c r="E14" s="35">
        <v>270</v>
      </c>
      <c r="F14" s="35">
        <v>800</v>
      </c>
      <c r="G14" s="35">
        <v>-270</v>
      </c>
      <c r="H14" s="35">
        <v>852</v>
      </c>
      <c r="I14" s="35">
        <v>-1652</v>
      </c>
      <c r="J14" s="35">
        <v>609</v>
      </c>
      <c r="K14" s="35">
        <v>130</v>
      </c>
      <c r="L14" s="35">
        <v>-739</v>
      </c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</row>
    <row r="15" spans="1:119" x14ac:dyDescent="0.25">
      <c r="A15" s="40" t="s">
        <v>42</v>
      </c>
      <c r="B15" s="41">
        <v>2550</v>
      </c>
      <c r="C15" s="35">
        <f t="shared" si="0"/>
        <v>2550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</row>
    <row r="16" spans="1:119" x14ac:dyDescent="0.25">
      <c r="A16" s="40" t="s">
        <v>17</v>
      </c>
      <c r="B16" s="37">
        <v>18000</v>
      </c>
      <c r="C16" s="35">
        <f t="shared" ref="C16" si="1">B16+SUM(D16:FW16)</f>
        <v>18000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</row>
    <row r="17" spans="1:119" x14ac:dyDescent="0.25">
      <c r="A17" s="40" t="s">
        <v>66</v>
      </c>
      <c r="B17" s="37">
        <v>2000</v>
      </c>
      <c r="C17" s="35">
        <f t="shared" ref="C17" si="2">B17+SUM(D17:FW17)</f>
        <v>1000</v>
      </c>
      <c r="D17" s="35">
        <v>-1000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</row>
    <row r="18" spans="1:119" x14ac:dyDescent="0.25">
      <c r="A18" s="40" t="s">
        <v>68</v>
      </c>
      <c r="B18" s="37">
        <v>0</v>
      </c>
      <c r="C18" s="35">
        <f t="shared" ref="C18" si="3">B18+SUM(D18:FW18)</f>
        <v>4175</v>
      </c>
      <c r="D18" s="35">
        <v>4175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</row>
    <row r="19" spans="1:119" ht="21" x14ac:dyDescent="0.25">
      <c r="A19" s="42" t="s">
        <v>52</v>
      </c>
      <c r="B19" s="39">
        <f>SUM(B2:B15)</f>
        <v>271847</v>
      </c>
      <c r="C19" s="39">
        <f>SUM(C2:C16)</f>
        <v>297959</v>
      </c>
    </row>
  </sheetData>
  <conditionalFormatting sqref="A1:DO15">
    <cfRule type="cellIs" dxfId="45" priority="3" operator="lessThan">
      <formula>0</formula>
    </cfRule>
  </conditionalFormatting>
  <conditionalFormatting sqref="A16:DO16">
    <cfRule type="cellIs" dxfId="44" priority="2" operator="lessThan">
      <formula>0</formula>
    </cfRule>
  </conditionalFormatting>
  <conditionalFormatting sqref="A17:DO18">
    <cfRule type="cellIs" dxfId="43" priority="1" operator="lessThan">
      <formula>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B24"/>
  <sheetViews>
    <sheetView workbookViewId="0">
      <selection activeCell="D5" sqref="D5"/>
    </sheetView>
  </sheetViews>
  <sheetFormatPr defaultRowHeight="15" x14ac:dyDescent="0.25"/>
  <cols>
    <col min="1" max="1" width="14.7109375" style="47" customWidth="1"/>
    <col min="2" max="2" width="16.28515625" style="47" customWidth="1"/>
    <col min="3" max="3" width="10.42578125" style="47" customWidth="1"/>
  </cols>
  <sheetData>
    <row r="1" spans="1:106" ht="18.75" x14ac:dyDescent="0.25">
      <c r="A1" s="34" t="s">
        <v>45</v>
      </c>
      <c r="B1" s="34" t="s">
        <v>46</v>
      </c>
      <c r="C1" s="34" t="s">
        <v>47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46"/>
      <c r="CZ1" s="46"/>
      <c r="DA1" s="46"/>
      <c r="DB1" s="46"/>
    </row>
    <row r="2" spans="1:106" x14ac:dyDescent="0.25">
      <c r="A2" s="40" t="s">
        <v>36</v>
      </c>
      <c r="B2" s="35">
        <v>8400</v>
      </c>
      <c r="C2" s="35">
        <f>B2+SUM(D2:CN2)</f>
        <v>0</v>
      </c>
      <c r="D2" s="35">
        <v>-8400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46"/>
      <c r="CZ2" s="46"/>
      <c r="DA2" s="46"/>
      <c r="DB2" s="46"/>
    </row>
    <row r="3" spans="1:106" x14ac:dyDescent="0.25">
      <c r="A3" s="40" t="s">
        <v>21</v>
      </c>
      <c r="B3" s="35">
        <v>3000</v>
      </c>
      <c r="C3" s="35">
        <f t="shared" ref="C3:C15" si="0">B3+SUM(D3:CN3)</f>
        <v>0</v>
      </c>
      <c r="D3" s="35">
        <v>-1000</v>
      </c>
      <c r="E3" s="35">
        <v>-1000</v>
      </c>
      <c r="F3" s="35">
        <v>-1000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46"/>
      <c r="CZ3" s="46"/>
      <c r="DA3" s="46"/>
      <c r="DB3" s="46"/>
    </row>
    <row r="4" spans="1:106" x14ac:dyDescent="0.25">
      <c r="A4" s="40" t="s">
        <v>16</v>
      </c>
      <c r="B4" s="35">
        <v>30000</v>
      </c>
      <c r="C4" s="35">
        <f t="shared" si="0"/>
        <v>0</v>
      </c>
      <c r="D4" s="35">
        <v>-30000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46"/>
      <c r="CZ4" s="46"/>
      <c r="DA4" s="46"/>
      <c r="DB4" s="46"/>
    </row>
    <row r="5" spans="1:106" x14ac:dyDescent="0.25">
      <c r="A5" s="40" t="s">
        <v>40</v>
      </c>
      <c r="B5" s="35">
        <v>609</v>
      </c>
      <c r="C5" s="35">
        <f t="shared" si="0"/>
        <v>0</v>
      </c>
      <c r="D5" s="35">
        <v>-609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46"/>
      <c r="CZ5" s="46"/>
      <c r="DA5" s="46"/>
      <c r="DB5" s="46"/>
    </row>
    <row r="6" spans="1:106" x14ac:dyDescent="0.25">
      <c r="A6" s="40" t="s">
        <v>17</v>
      </c>
      <c r="B6" s="35">
        <v>33600</v>
      </c>
      <c r="C6" s="35">
        <f t="shared" si="0"/>
        <v>30000</v>
      </c>
      <c r="D6" s="35">
        <v>-4000</v>
      </c>
      <c r="E6" s="35">
        <v>400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46"/>
      <c r="CZ6" s="46"/>
      <c r="DA6" s="46"/>
      <c r="DB6" s="46"/>
    </row>
    <row r="7" spans="1:106" x14ac:dyDescent="0.25">
      <c r="A7" s="40" t="s">
        <v>17</v>
      </c>
      <c r="B7" s="35">
        <v>18000</v>
      </c>
      <c r="C7" s="35">
        <f t="shared" si="0"/>
        <v>0</v>
      </c>
      <c r="D7" s="35">
        <v>-10000</v>
      </c>
      <c r="E7" s="35">
        <v>-3000</v>
      </c>
      <c r="F7" s="35">
        <v>-5000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46"/>
      <c r="CZ7" s="46"/>
      <c r="DA7" s="46"/>
      <c r="DB7" s="46"/>
    </row>
    <row r="8" spans="1:106" x14ac:dyDescent="0.25">
      <c r="A8" s="40" t="s">
        <v>37</v>
      </c>
      <c r="B8" s="35">
        <v>21500</v>
      </c>
      <c r="C8" s="35">
        <f t="shared" si="0"/>
        <v>21500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46"/>
      <c r="CZ8" s="46"/>
      <c r="DA8" s="46"/>
      <c r="DB8" s="46"/>
    </row>
    <row r="9" spans="1:106" x14ac:dyDescent="0.25">
      <c r="A9" s="40" t="s">
        <v>43</v>
      </c>
      <c r="B9" s="35">
        <v>5000</v>
      </c>
      <c r="C9" s="35">
        <f t="shared" si="0"/>
        <v>4000</v>
      </c>
      <c r="D9" s="35">
        <v>-1000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46"/>
      <c r="CZ9" s="46"/>
      <c r="DA9" s="46"/>
      <c r="DB9" s="46"/>
    </row>
    <row r="10" spans="1:106" x14ac:dyDescent="0.25">
      <c r="A10" s="40" t="s">
        <v>35</v>
      </c>
      <c r="B10" s="35">
        <v>110</v>
      </c>
      <c r="C10" s="35">
        <f t="shared" si="0"/>
        <v>0</v>
      </c>
      <c r="D10" s="35">
        <v>-110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46"/>
      <c r="CZ10" s="46"/>
      <c r="DA10" s="46"/>
      <c r="DB10" s="46"/>
    </row>
    <row r="11" spans="1:106" x14ac:dyDescent="0.25">
      <c r="A11" s="40" t="s">
        <v>18</v>
      </c>
      <c r="B11" s="35">
        <v>86901</v>
      </c>
      <c r="C11" s="35">
        <f t="shared" si="0"/>
        <v>77751</v>
      </c>
      <c r="D11" s="35">
        <v>1350</v>
      </c>
      <c r="E11" s="35"/>
      <c r="F11" s="35">
        <v>2500</v>
      </c>
      <c r="G11" s="35">
        <v>-1000</v>
      </c>
      <c r="H11" s="35">
        <v>8000</v>
      </c>
      <c r="I11" s="35">
        <v>-2500</v>
      </c>
      <c r="J11" s="35">
        <v>-500</v>
      </c>
      <c r="K11" s="35">
        <v>-200</v>
      </c>
      <c r="L11" s="35">
        <v>-10000</v>
      </c>
      <c r="M11" s="35">
        <v>-6000</v>
      </c>
      <c r="N11" s="35">
        <v>4200</v>
      </c>
      <c r="O11" s="35">
        <v>-5000</v>
      </c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46"/>
      <c r="CZ11" s="46"/>
      <c r="DA11" s="46"/>
      <c r="DB11" s="46"/>
    </row>
    <row r="12" spans="1:106" x14ac:dyDescent="0.25">
      <c r="A12" s="40" t="s">
        <v>42</v>
      </c>
      <c r="B12" s="35">
        <v>2550</v>
      </c>
      <c r="C12" s="35">
        <f t="shared" si="0"/>
        <v>2550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46"/>
      <c r="CZ12" s="46"/>
      <c r="DA12" s="46"/>
      <c r="DB12" s="46"/>
    </row>
    <row r="13" spans="1:106" x14ac:dyDescent="0.25">
      <c r="A13" s="40" t="s">
        <v>33</v>
      </c>
      <c r="B13" s="35">
        <v>83062</v>
      </c>
      <c r="C13" s="35">
        <f t="shared" si="0"/>
        <v>76062</v>
      </c>
      <c r="D13" s="35">
        <v>1350</v>
      </c>
      <c r="E13" s="35">
        <v>-350</v>
      </c>
      <c r="F13" s="35">
        <v>2500</v>
      </c>
      <c r="G13" s="35">
        <v>-1000</v>
      </c>
      <c r="H13" s="35"/>
      <c r="I13" s="35">
        <v>8000</v>
      </c>
      <c r="J13" s="35">
        <v>-500</v>
      </c>
      <c r="K13" s="35">
        <v>-200</v>
      </c>
      <c r="L13" s="35">
        <v>-10000</v>
      </c>
      <c r="M13" s="35">
        <v>-6000</v>
      </c>
      <c r="N13" s="35">
        <v>4200</v>
      </c>
      <c r="O13" s="35">
        <v>-5000</v>
      </c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46"/>
      <c r="CZ13" s="46"/>
      <c r="DA13" s="46"/>
      <c r="DB13" s="46"/>
    </row>
    <row r="14" spans="1:106" x14ac:dyDescent="0.25">
      <c r="A14" s="40" t="s">
        <v>66</v>
      </c>
      <c r="B14" s="35">
        <v>1000</v>
      </c>
      <c r="C14" s="35">
        <f t="shared" si="0"/>
        <v>0</v>
      </c>
      <c r="D14" s="35">
        <v>-1000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46"/>
      <c r="CZ14" s="46"/>
      <c r="DA14" s="46"/>
      <c r="DB14" s="46"/>
    </row>
    <row r="15" spans="1:106" x14ac:dyDescent="0.25">
      <c r="A15" s="40" t="s">
        <v>72</v>
      </c>
      <c r="B15" s="35">
        <v>36000</v>
      </c>
      <c r="C15" s="35">
        <f t="shared" si="0"/>
        <v>0</v>
      </c>
      <c r="D15" s="35">
        <v>-21500</v>
      </c>
      <c r="E15" s="35">
        <v>-8500</v>
      </c>
      <c r="F15" s="35">
        <v>-2000</v>
      </c>
      <c r="G15" s="35">
        <v>-1000</v>
      </c>
      <c r="H15" s="35">
        <v>-2500</v>
      </c>
      <c r="I15" s="35">
        <v>-500</v>
      </c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46"/>
      <c r="CZ15" s="46"/>
      <c r="DA15" s="46"/>
      <c r="DB15" s="46"/>
    </row>
    <row r="16" spans="1:106" x14ac:dyDescent="0.25">
      <c r="A16" s="40" t="s">
        <v>75</v>
      </c>
      <c r="B16" s="35">
        <v>2000</v>
      </c>
      <c r="C16" s="35">
        <f t="shared" ref="C16:C18" si="1">B16+SUM(D16:CN16)</f>
        <v>0</v>
      </c>
      <c r="D16" s="35">
        <v>-2000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46"/>
      <c r="CZ16" s="46"/>
      <c r="DA16" s="46"/>
      <c r="DB16" s="46"/>
    </row>
    <row r="17" spans="1:106" x14ac:dyDescent="0.25">
      <c r="A17" s="40" t="s">
        <v>77</v>
      </c>
      <c r="B17" s="35">
        <v>24200</v>
      </c>
      <c r="C17" s="35">
        <f t="shared" si="1"/>
        <v>20000</v>
      </c>
      <c r="D17" s="35">
        <v>-4200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46"/>
      <c r="CZ17" s="46"/>
      <c r="DA17" s="46"/>
      <c r="DB17" s="46"/>
    </row>
    <row r="18" spans="1:106" x14ac:dyDescent="0.25">
      <c r="A18" s="40" t="s">
        <v>78</v>
      </c>
      <c r="B18" s="35">
        <v>7000</v>
      </c>
      <c r="C18" s="35">
        <f t="shared" si="1"/>
        <v>7100</v>
      </c>
      <c r="D18" s="35">
        <v>100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46"/>
      <c r="CZ18" s="46"/>
      <c r="DA18" s="46"/>
      <c r="DB18" s="46"/>
    </row>
    <row r="19" spans="1:106" x14ac:dyDescent="0.25">
      <c r="A19" s="40" t="s">
        <v>83</v>
      </c>
      <c r="B19" s="35">
        <v>24000</v>
      </c>
      <c r="C19" s="35">
        <f t="shared" ref="C19" si="2">B19+SUM(D19:CN19)</f>
        <v>18000</v>
      </c>
      <c r="D19" s="35">
        <v>-4000</v>
      </c>
      <c r="E19" s="35">
        <v>-2000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46"/>
      <c r="CZ19" s="46"/>
      <c r="DA19" s="46"/>
      <c r="DB19" s="46"/>
    </row>
    <row r="20" spans="1:106" x14ac:dyDescent="0.25">
      <c r="A20" s="40" t="s">
        <v>74</v>
      </c>
      <c r="B20" s="35">
        <v>3300</v>
      </c>
      <c r="C20" s="35">
        <f t="shared" ref="C20" si="3">B20+SUM(D20:CN20)</f>
        <v>3300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46"/>
      <c r="CZ20" s="46"/>
      <c r="DA20" s="46"/>
      <c r="DB20" s="46"/>
    </row>
    <row r="21" spans="1:106" x14ac:dyDescent="0.25">
      <c r="A21" s="40" t="s">
        <v>84</v>
      </c>
      <c r="B21" s="35">
        <v>12000</v>
      </c>
      <c r="C21" s="35">
        <f t="shared" ref="C21" si="4">B21+SUM(D21:CN21)</f>
        <v>0</v>
      </c>
      <c r="D21" s="35">
        <v>-12000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46"/>
      <c r="CZ21" s="46"/>
      <c r="DA21" s="46"/>
      <c r="DB21" s="46"/>
    </row>
    <row r="22" spans="1:106" x14ac:dyDescent="0.25">
      <c r="A22" s="40" t="s">
        <v>87</v>
      </c>
      <c r="B22" s="35">
        <v>20000</v>
      </c>
      <c r="C22" s="35">
        <f t="shared" ref="C22" si="5">B22+SUM(D22:CN22)</f>
        <v>18000</v>
      </c>
      <c r="D22" s="35">
        <v>-2000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46"/>
      <c r="CZ22" s="46"/>
      <c r="DA22" s="46"/>
      <c r="DB22" s="46"/>
    </row>
    <row r="23" spans="1:106" x14ac:dyDescent="0.25">
      <c r="A23" s="40" t="s">
        <v>89</v>
      </c>
      <c r="B23" s="35">
        <v>10000</v>
      </c>
      <c r="C23" s="35">
        <f t="shared" ref="C23" si="6">B23+SUM(D23:CN23)</f>
        <v>10000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46"/>
      <c r="CZ23" s="46"/>
      <c r="DA23" s="46"/>
      <c r="DB23" s="46"/>
    </row>
    <row r="24" spans="1:106" ht="21" x14ac:dyDescent="0.25">
      <c r="B24" s="52">
        <f>SUM(B2:B23)</f>
        <v>432232</v>
      </c>
      <c r="C24" s="52">
        <f>SUM(C2:C23)</f>
        <v>288263</v>
      </c>
    </row>
  </sheetData>
  <sortState ref="A2:B18">
    <sortCondition descending="1" ref="A2"/>
  </sortState>
  <conditionalFormatting sqref="A1:C1">
    <cfRule type="cellIs" dxfId="42" priority="23" operator="lessThan">
      <formula>0</formula>
    </cfRule>
  </conditionalFormatting>
  <conditionalFormatting sqref="A2:A16">
    <cfRule type="cellIs" dxfId="41" priority="22" operator="lessThan">
      <formula>0</formula>
    </cfRule>
  </conditionalFormatting>
  <conditionalFormatting sqref="A17:A18">
    <cfRule type="cellIs" dxfId="40" priority="20" operator="lessThan">
      <formula>0</formula>
    </cfRule>
  </conditionalFormatting>
  <conditionalFormatting sqref="B2:B16">
    <cfRule type="cellIs" dxfId="39" priority="19" operator="lessThan">
      <formula>0</formula>
    </cfRule>
  </conditionalFormatting>
  <conditionalFormatting sqref="B17:B18">
    <cfRule type="cellIs" dxfId="38" priority="17" operator="lessThan">
      <formula>0</formula>
    </cfRule>
  </conditionalFormatting>
  <conditionalFormatting sqref="D1:CT18">
    <cfRule type="cellIs" dxfId="37" priority="16" operator="lessThan">
      <formula>0</formula>
    </cfRule>
  </conditionalFormatting>
  <conditionalFormatting sqref="A19">
    <cfRule type="cellIs" dxfId="36" priority="15" operator="lessThan">
      <formula>0</formula>
    </cfRule>
  </conditionalFormatting>
  <conditionalFormatting sqref="B19">
    <cfRule type="cellIs" dxfId="35" priority="14" operator="lessThan">
      <formula>0</formula>
    </cfRule>
  </conditionalFormatting>
  <conditionalFormatting sqref="D19:CT19">
    <cfRule type="cellIs" dxfId="34" priority="13" operator="lessThan">
      <formula>0</formula>
    </cfRule>
  </conditionalFormatting>
  <conditionalFormatting sqref="A20">
    <cfRule type="cellIs" dxfId="33" priority="12" operator="lessThan">
      <formula>0</formula>
    </cfRule>
  </conditionalFormatting>
  <conditionalFormatting sqref="B20">
    <cfRule type="cellIs" dxfId="32" priority="11" operator="lessThan">
      <formula>0</formula>
    </cfRule>
  </conditionalFormatting>
  <conditionalFormatting sqref="D20:CT20">
    <cfRule type="cellIs" dxfId="31" priority="10" operator="lessThan">
      <formula>0</formula>
    </cfRule>
  </conditionalFormatting>
  <conditionalFormatting sqref="A21">
    <cfRule type="cellIs" dxfId="30" priority="9" operator="lessThan">
      <formula>0</formula>
    </cfRule>
  </conditionalFormatting>
  <conditionalFormatting sqref="B21">
    <cfRule type="cellIs" dxfId="29" priority="8" operator="lessThan">
      <formula>0</formula>
    </cfRule>
  </conditionalFormatting>
  <conditionalFormatting sqref="D21:CT21">
    <cfRule type="cellIs" dxfId="28" priority="7" operator="lessThan">
      <formula>0</formula>
    </cfRule>
  </conditionalFormatting>
  <conditionalFormatting sqref="A22">
    <cfRule type="cellIs" dxfId="27" priority="6" operator="lessThan">
      <formula>0</formula>
    </cfRule>
  </conditionalFormatting>
  <conditionalFormatting sqref="B22">
    <cfRule type="cellIs" dxfId="26" priority="5" operator="lessThan">
      <formula>0</formula>
    </cfRule>
  </conditionalFormatting>
  <conditionalFormatting sqref="D22:CT22">
    <cfRule type="cellIs" dxfId="25" priority="4" operator="lessThan">
      <formula>0</formula>
    </cfRule>
  </conditionalFormatting>
  <conditionalFormatting sqref="A23">
    <cfRule type="cellIs" dxfId="24" priority="3" operator="lessThan">
      <formula>0</formula>
    </cfRule>
  </conditionalFormatting>
  <conditionalFormatting sqref="B23">
    <cfRule type="cellIs" dxfId="23" priority="2" operator="lessThan">
      <formula>0</formula>
    </cfRule>
  </conditionalFormatting>
  <conditionalFormatting sqref="D23:CT23">
    <cfRule type="cellIs" dxfId="22" priority="1" operator="lessThan">
      <formula>0</formula>
    </cfRule>
  </conditionalFormatting>
  <pageMargins left="0.7" right="0.7" top="0.75" bottom="0.75" header="0.3" footer="0.3"/>
  <pageSetup paperSize="288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N48"/>
  <sheetViews>
    <sheetView tabSelected="1" topLeftCell="A19" workbookViewId="0">
      <selection activeCell="C27" sqref="C27"/>
    </sheetView>
  </sheetViews>
  <sheetFormatPr defaultRowHeight="15" x14ac:dyDescent="0.25"/>
  <cols>
    <col min="1" max="1" width="14.42578125" customWidth="1"/>
    <col min="2" max="2" width="12.28515625" customWidth="1"/>
    <col min="3" max="3" width="11.28515625" customWidth="1"/>
  </cols>
  <sheetData>
    <row r="1" spans="1:144" x14ac:dyDescent="0.25">
      <c r="A1" s="35" t="s">
        <v>45</v>
      </c>
      <c r="B1" s="35" t="s">
        <v>69</v>
      </c>
      <c r="C1" s="51" t="s">
        <v>70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  <c r="ED1" s="35"/>
      <c r="EE1" s="35"/>
      <c r="EF1" s="35"/>
      <c r="EG1" s="35"/>
      <c r="EH1" s="35"/>
      <c r="EI1" s="35"/>
      <c r="EJ1" s="35"/>
      <c r="EK1" s="35"/>
      <c r="EL1" s="35"/>
      <c r="EM1" s="35"/>
      <c r="EN1" s="47"/>
    </row>
    <row r="2" spans="1:144" x14ac:dyDescent="0.25">
      <c r="A2" s="36" t="s">
        <v>15</v>
      </c>
      <c r="B2" s="35">
        <v>4160</v>
      </c>
      <c r="C2" s="51">
        <f>B2+SUM(D2:FS2)</f>
        <v>1814</v>
      </c>
      <c r="D2" s="35">
        <v>-800</v>
      </c>
      <c r="E2" s="35">
        <v>8000</v>
      </c>
      <c r="F2" s="35">
        <v>21500</v>
      </c>
      <c r="G2" s="35">
        <v>-28800</v>
      </c>
      <c r="H2" s="35">
        <v>-120</v>
      </c>
      <c r="I2" s="35">
        <v>-350</v>
      </c>
      <c r="J2" s="35">
        <v>-200</v>
      </c>
      <c r="K2" s="35">
        <v>-1000</v>
      </c>
      <c r="L2" s="35">
        <v>-1000</v>
      </c>
      <c r="M2" s="35">
        <v>3500</v>
      </c>
      <c r="N2" s="35">
        <v>-3000</v>
      </c>
      <c r="O2" s="35">
        <v>5000</v>
      </c>
      <c r="P2" s="35">
        <v>5000</v>
      </c>
      <c r="Q2" s="35">
        <v>-10000</v>
      </c>
      <c r="R2" s="35">
        <v>2000</v>
      </c>
      <c r="S2" s="35">
        <v>-1000</v>
      </c>
      <c r="T2" s="35">
        <v>-1000</v>
      </c>
      <c r="U2" s="35">
        <v>10000</v>
      </c>
      <c r="V2" s="35">
        <v>-1000</v>
      </c>
      <c r="W2" s="35">
        <v>-1000</v>
      </c>
      <c r="X2" s="35">
        <v>-1000</v>
      </c>
      <c r="Y2" s="35">
        <v>-4200</v>
      </c>
      <c r="Z2" s="35">
        <v>6600</v>
      </c>
      <c r="AA2" s="35">
        <v>-300</v>
      </c>
      <c r="AB2" s="35">
        <v>-3000</v>
      </c>
      <c r="AC2" s="35">
        <v>-3000</v>
      </c>
      <c r="AD2" s="35">
        <v>-2000</v>
      </c>
      <c r="AE2" s="35">
        <v>4000</v>
      </c>
      <c r="AF2" s="35">
        <v>3000</v>
      </c>
      <c r="AG2" s="35">
        <v>-2000</v>
      </c>
      <c r="AH2" s="35">
        <v>-5000</v>
      </c>
      <c r="AI2" s="35">
        <v>-300</v>
      </c>
      <c r="AJ2" s="35">
        <v>1500</v>
      </c>
      <c r="AK2" s="35">
        <v>9000</v>
      </c>
      <c r="AL2" s="35">
        <v>400</v>
      </c>
      <c r="AM2" s="35">
        <v>-400</v>
      </c>
      <c r="AN2" s="35">
        <v>-4000</v>
      </c>
      <c r="AO2" s="35">
        <v>-200</v>
      </c>
      <c r="AP2" s="35">
        <v>-3000</v>
      </c>
      <c r="AQ2" s="35">
        <v>-1000</v>
      </c>
      <c r="AR2" s="35">
        <v>-2500</v>
      </c>
      <c r="AS2" s="35">
        <v>-1500</v>
      </c>
      <c r="AT2" s="35">
        <v>6300</v>
      </c>
      <c r="AU2" s="35">
        <v>11000</v>
      </c>
      <c r="AV2" s="35">
        <v>-1000</v>
      </c>
      <c r="AW2" s="35">
        <v>-1000</v>
      </c>
      <c r="AX2" s="35">
        <v>-200</v>
      </c>
      <c r="AY2" s="35">
        <v>-100</v>
      </c>
      <c r="AZ2" s="35">
        <v>-200</v>
      </c>
      <c r="BA2" s="35">
        <v>-2000</v>
      </c>
      <c r="BB2" s="35">
        <v>2000</v>
      </c>
      <c r="BC2" s="35">
        <v>-3000</v>
      </c>
      <c r="BD2" s="35">
        <v>-5000</v>
      </c>
      <c r="BE2" s="35">
        <v>-1000</v>
      </c>
      <c r="BF2" s="35">
        <v>-270</v>
      </c>
      <c r="BG2" s="35">
        <v>-2000</v>
      </c>
      <c r="BH2" s="35">
        <v>-2000</v>
      </c>
      <c r="BI2" s="35">
        <v>-60</v>
      </c>
      <c r="BJ2" s="35">
        <v>9523</v>
      </c>
      <c r="BK2" s="35">
        <v>10000</v>
      </c>
      <c r="BL2" s="35">
        <v>8000</v>
      </c>
      <c r="BM2" s="35">
        <v>16000</v>
      </c>
      <c r="BN2" s="35">
        <v>-5000</v>
      </c>
      <c r="BO2" s="35">
        <v>-2500</v>
      </c>
      <c r="BP2" s="35">
        <v>0</v>
      </c>
      <c r="BQ2" s="35">
        <v>-10</v>
      </c>
      <c r="BR2" s="35">
        <v>-110</v>
      </c>
      <c r="BS2" s="35">
        <v>700</v>
      </c>
      <c r="BT2" s="35">
        <v>2000</v>
      </c>
      <c r="BU2" s="35">
        <v>-600</v>
      </c>
      <c r="BV2" s="35">
        <v>-30</v>
      </c>
      <c r="BW2" s="35">
        <v>-2000</v>
      </c>
      <c r="BX2" s="35">
        <v>13000</v>
      </c>
      <c r="BY2" s="35">
        <v>-12000</v>
      </c>
      <c r="BZ2" s="35">
        <v>-1000</v>
      </c>
      <c r="CA2" s="35">
        <v>-5000</v>
      </c>
      <c r="CB2" s="35">
        <v>-9000</v>
      </c>
      <c r="CC2" s="35">
        <v>-20000</v>
      </c>
      <c r="CD2" s="35">
        <v>12000</v>
      </c>
      <c r="CE2" s="35">
        <v>-12000</v>
      </c>
      <c r="CF2" s="35">
        <v>10000</v>
      </c>
      <c r="CG2" s="35">
        <v>-10000</v>
      </c>
      <c r="CH2" s="35">
        <v>-2000</v>
      </c>
      <c r="CI2" s="35">
        <v>100</v>
      </c>
      <c r="CJ2" s="35">
        <v>-609</v>
      </c>
      <c r="CK2" s="35">
        <v>-110</v>
      </c>
      <c r="CL2" s="35">
        <v>3000</v>
      </c>
      <c r="CM2" s="35">
        <v>27000</v>
      </c>
      <c r="CN2" s="35">
        <v>-30000</v>
      </c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47"/>
    </row>
    <row r="3" spans="1:144" x14ac:dyDescent="0.25">
      <c r="A3" s="36" t="s">
        <v>22</v>
      </c>
      <c r="B3" s="35">
        <v>30250</v>
      </c>
      <c r="C3" s="51">
        <f t="shared" ref="C3:C30" si="0">B3+SUM(D3:FS3)</f>
        <v>34450</v>
      </c>
      <c r="D3" s="35">
        <v>3000</v>
      </c>
      <c r="E3" s="35">
        <v>200</v>
      </c>
      <c r="F3" s="35">
        <v>1000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47"/>
    </row>
    <row r="4" spans="1:144" x14ac:dyDescent="0.25">
      <c r="A4" s="36" t="s">
        <v>60</v>
      </c>
      <c r="B4" s="35">
        <v>26600</v>
      </c>
      <c r="C4" s="51">
        <f t="shared" si="0"/>
        <v>18600</v>
      </c>
      <c r="D4" s="35">
        <v>-8000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47"/>
    </row>
    <row r="5" spans="1:144" x14ac:dyDescent="0.25">
      <c r="A5" s="36" t="s">
        <v>31</v>
      </c>
      <c r="B5" s="35">
        <v>15424</v>
      </c>
      <c r="C5" s="51">
        <f t="shared" si="0"/>
        <v>0</v>
      </c>
      <c r="D5" s="35">
        <v>-15424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47"/>
    </row>
    <row r="6" spans="1:144" x14ac:dyDescent="0.25">
      <c r="A6" s="36" t="s">
        <v>59</v>
      </c>
      <c r="B6" s="35">
        <v>10700</v>
      </c>
      <c r="C6" s="51">
        <f t="shared" si="0"/>
        <v>324</v>
      </c>
      <c r="D6" s="35">
        <v>-376</v>
      </c>
      <c r="E6" s="35">
        <v>-10000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47"/>
    </row>
    <row r="7" spans="1:144" x14ac:dyDescent="0.25">
      <c r="A7" s="36" t="s">
        <v>24</v>
      </c>
      <c r="B7" s="35">
        <v>18538</v>
      </c>
      <c r="C7" s="51">
        <f t="shared" si="0"/>
        <v>19938</v>
      </c>
      <c r="D7" s="35">
        <v>800</v>
      </c>
      <c r="E7" s="35">
        <v>200</v>
      </c>
      <c r="F7" s="35">
        <v>300</v>
      </c>
      <c r="G7" s="35">
        <v>100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47"/>
    </row>
    <row r="8" spans="1:144" x14ac:dyDescent="0.25">
      <c r="A8" s="36" t="s">
        <v>30</v>
      </c>
      <c r="B8" s="35">
        <v>21000</v>
      </c>
      <c r="C8" s="51">
        <f t="shared" si="0"/>
        <v>23880</v>
      </c>
      <c r="D8" s="35">
        <v>1000</v>
      </c>
      <c r="E8" s="35">
        <v>400</v>
      </c>
      <c r="F8" s="35">
        <v>200</v>
      </c>
      <c r="G8" s="35">
        <v>200</v>
      </c>
      <c r="H8" s="35">
        <v>270</v>
      </c>
      <c r="I8" s="35">
        <v>60</v>
      </c>
      <c r="J8" s="35">
        <v>10</v>
      </c>
      <c r="K8" s="35">
        <v>110</v>
      </c>
      <c r="L8" s="35">
        <v>600</v>
      </c>
      <c r="M8" s="35">
        <v>30</v>
      </c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47"/>
    </row>
    <row r="9" spans="1:144" x14ac:dyDescent="0.25">
      <c r="A9" s="36" t="s">
        <v>38</v>
      </c>
      <c r="B9" s="35">
        <v>260</v>
      </c>
      <c r="C9" s="51">
        <f t="shared" si="0"/>
        <v>260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47"/>
    </row>
    <row r="10" spans="1:144" x14ac:dyDescent="0.25">
      <c r="A10" s="36" t="s">
        <v>29</v>
      </c>
      <c r="B10" s="35">
        <v>250</v>
      </c>
      <c r="C10" s="51">
        <f t="shared" si="0"/>
        <v>250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47"/>
    </row>
    <row r="11" spans="1:144" x14ac:dyDescent="0.25">
      <c r="A11" s="36" t="s">
        <v>53</v>
      </c>
      <c r="B11" s="35">
        <v>500</v>
      </c>
      <c r="C11" s="51">
        <f t="shared" si="0"/>
        <v>500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47"/>
    </row>
    <row r="12" spans="1:144" x14ac:dyDescent="0.25">
      <c r="A12" s="36" t="s">
        <v>2</v>
      </c>
      <c r="B12" s="35">
        <v>12000</v>
      </c>
      <c r="C12" s="51">
        <f t="shared" si="0"/>
        <v>0</v>
      </c>
      <c r="D12" s="35">
        <v>-12000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47"/>
    </row>
    <row r="13" spans="1:144" x14ac:dyDescent="0.25">
      <c r="A13" s="36" t="s">
        <v>32</v>
      </c>
      <c r="B13" s="35">
        <v>11000</v>
      </c>
      <c r="C13" s="51">
        <f t="shared" si="0"/>
        <v>11000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47"/>
    </row>
    <row r="14" spans="1:144" x14ac:dyDescent="0.25">
      <c r="A14" s="36" t="s">
        <v>18</v>
      </c>
      <c r="B14" s="35">
        <v>1800</v>
      </c>
      <c r="C14" s="51">
        <f t="shared" si="0"/>
        <v>1800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47"/>
    </row>
    <row r="15" spans="1:144" x14ac:dyDescent="0.25">
      <c r="A15" s="36" t="s">
        <v>26</v>
      </c>
      <c r="B15" s="35">
        <v>10400</v>
      </c>
      <c r="C15" s="51">
        <f t="shared" si="0"/>
        <v>12400</v>
      </c>
      <c r="D15" s="35">
        <v>1000</v>
      </c>
      <c r="E15" s="35">
        <v>1000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47"/>
    </row>
    <row r="16" spans="1:144" x14ac:dyDescent="0.25">
      <c r="A16" s="36" t="s">
        <v>11</v>
      </c>
      <c r="B16" s="35">
        <v>1000</v>
      </c>
      <c r="C16" s="51">
        <f t="shared" si="0"/>
        <v>1000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47"/>
    </row>
    <row r="17" spans="1:144" x14ac:dyDescent="0.25">
      <c r="A17" s="36" t="s">
        <v>61</v>
      </c>
      <c r="B17" s="35">
        <v>16000</v>
      </c>
      <c r="C17" s="51">
        <f t="shared" si="0"/>
        <v>11000</v>
      </c>
      <c r="D17" s="35">
        <v>-3500</v>
      </c>
      <c r="E17" s="35">
        <v>-1500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47"/>
    </row>
    <row r="18" spans="1:144" x14ac:dyDescent="0.25">
      <c r="A18" s="36" t="s">
        <v>5</v>
      </c>
      <c r="B18" s="35">
        <v>1150</v>
      </c>
      <c r="C18" s="51">
        <f t="shared" si="0"/>
        <v>1150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47"/>
    </row>
    <row r="19" spans="1:144" x14ac:dyDescent="0.25">
      <c r="A19" s="36" t="s">
        <v>7</v>
      </c>
      <c r="B19" s="35">
        <v>650</v>
      </c>
      <c r="C19" s="51">
        <f t="shared" si="0"/>
        <v>650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47"/>
    </row>
    <row r="20" spans="1:144" x14ac:dyDescent="0.25">
      <c r="A20" s="36" t="s">
        <v>54</v>
      </c>
      <c r="B20" s="35">
        <v>4000</v>
      </c>
      <c r="C20" s="51">
        <f t="shared" si="0"/>
        <v>0</v>
      </c>
      <c r="D20" s="35">
        <v>2000</v>
      </c>
      <c r="E20" s="35">
        <v>2000</v>
      </c>
      <c r="F20" s="35">
        <v>-8000</v>
      </c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47"/>
    </row>
    <row r="21" spans="1:144" x14ac:dyDescent="0.25">
      <c r="A21" s="36" t="s">
        <v>58</v>
      </c>
      <c r="B21" s="35">
        <v>14000</v>
      </c>
      <c r="C21" s="51">
        <f t="shared" si="0"/>
        <v>16500</v>
      </c>
      <c r="D21" s="35">
        <v>24500</v>
      </c>
      <c r="E21" s="35">
        <v>-9000</v>
      </c>
      <c r="F21" s="35">
        <v>-13000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47"/>
    </row>
    <row r="22" spans="1:144" x14ac:dyDescent="0.25">
      <c r="A22" s="36" t="s">
        <v>12</v>
      </c>
      <c r="B22" s="35">
        <v>1000</v>
      </c>
      <c r="C22" s="51">
        <f t="shared" si="0"/>
        <v>1000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47"/>
    </row>
    <row r="23" spans="1:144" x14ac:dyDescent="0.25">
      <c r="A23" s="36" t="s">
        <v>28</v>
      </c>
      <c r="B23" s="35">
        <v>400</v>
      </c>
      <c r="C23" s="51">
        <f t="shared" si="0"/>
        <v>400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47"/>
    </row>
    <row r="24" spans="1:144" x14ac:dyDescent="0.25">
      <c r="A24" s="36" t="s">
        <v>27</v>
      </c>
      <c r="B24" s="35">
        <v>1300</v>
      </c>
      <c r="C24" s="51">
        <f t="shared" si="0"/>
        <v>1300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47"/>
    </row>
    <row r="25" spans="1:144" x14ac:dyDescent="0.25">
      <c r="A25" s="36" t="s">
        <v>3</v>
      </c>
      <c r="B25" s="35">
        <v>14000</v>
      </c>
      <c r="C25" s="51">
        <f t="shared" si="0"/>
        <v>16000</v>
      </c>
      <c r="D25" s="35">
        <v>1000</v>
      </c>
      <c r="E25" s="35">
        <v>1000</v>
      </c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47"/>
    </row>
    <row r="26" spans="1:144" x14ac:dyDescent="0.25">
      <c r="A26" s="36" t="s">
        <v>67</v>
      </c>
      <c r="B26" s="35">
        <v>20000</v>
      </c>
      <c r="C26" s="51">
        <f t="shared" si="0"/>
        <v>0</v>
      </c>
      <c r="D26" s="35">
        <v>-20000</v>
      </c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47"/>
    </row>
    <row r="27" spans="1:144" x14ac:dyDescent="0.25">
      <c r="A27" s="36" t="s">
        <v>0</v>
      </c>
      <c r="B27" s="35">
        <v>53150</v>
      </c>
      <c r="C27" s="51">
        <f t="shared" si="0"/>
        <v>28150</v>
      </c>
      <c r="D27" s="35">
        <v>5000</v>
      </c>
      <c r="E27" s="35">
        <v>-3000</v>
      </c>
      <c r="F27" s="35">
        <v>-27000</v>
      </c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47"/>
    </row>
    <row r="28" spans="1:144" x14ac:dyDescent="0.25">
      <c r="A28" s="36" t="s">
        <v>57</v>
      </c>
      <c r="B28" s="35">
        <v>4000</v>
      </c>
      <c r="C28" s="51">
        <f t="shared" si="0"/>
        <v>0</v>
      </c>
      <c r="D28" s="35">
        <v>-4000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47"/>
    </row>
    <row r="29" spans="1:144" x14ac:dyDescent="0.25">
      <c r="A29" s="36" t="s">
        <v>20</v>
      </c>
      <c r="B29" s="35">
        <v>200</v>
      </c>
      <c r="C29" s="51">
        <f t="shared" si="0"/>
        <v>2700</v>
      </c>
      <c r="D29" s="35">
        <v>2500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47"/>
    </row>
    <row r="30" spans="1:144" x14ac:dyDescent="0.25">
      <c r="A30" s="36" t="s">
        <v>71</v>
      </c>
      <c r="B30" s="35"/>
      <c r="C30" s="51">
        <f t="shared" si="0"/>
        <v>22597</v>
      </c>
      <c r="D30" s="35">
        <v>8500</v>
      </c>
      <c r="E30" s="35">
        <v>21500</v>
      </c>
      <c r="F30" s="35">
        <v>6000</v>
      </c>
      <c r="G30" s="35">
        <v>120</v>
      </c>
      <c r="H30" s="35">
        <v>-13523</v>
      </c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47"/>
    </row>
    <row r="31" spans="1:144" x14ac:dyDescent="0.25">
      <c r="A31" s="36" t="s">
        <v>73</v>
      </c>
      <c r="B31" s="35">
        <v>14500</v>
      </c>
      <c r="C31" s="51">
        <f t="shared" ref="C31" si="1">B31+SUM(D31:FS31)</f>
        <v>5500</v>
      </c>
      <c r="D31" s="35">
        <v>-5000</v>
      </c>
      <c r="E31" s="35">
        <v>-2000</v>
      </c>
      <c r="F31" s="35">
        <v>-2000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47"/>
    </row>
    <row r="32" spans="1:144" x14ac:dyDescent="0.25">
      <c r="A32" s="36" t="s">
        <v>19</v>
      </c>
      <c r="B32" s="35">
        <v>350</v>
      </c>
      <c r="C32" s="51">
        <f t="shared" ref="C32" si="2">B32+SUM(D32:FS32)</f>
        <v>350</v>
      </c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47"/>
    </row>
    <row r="33" spans="1:144" x14ac:dyDescent="0.25">
      <c r="A33" s="36" t="s">
        <v>18</v>
      </c>
      <c r="B33" s="35">
        <v>200</v>
      </c>
      <c r="C33" s="51">
        <f t="shared" ref="C33" si="3">B33+SUM(D33:FS33)</f>
        <v>200</v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47"/>
    </row>
    <row r="34" spans="1:144" x14ac:dyDescent="0.25">
      <c r="A34" s="36" t="s">
        <v>74</v>
      </c>
      <c r="B34" s="35">
        <v>750</v>
      </c>
      <c r="C34" s="51">
        <f t="shared" ref="C34:C36" si="4">B34+SUM(D34:FS34)</f>
        <v>750</v>
      </c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47"/>
    </row>
    <row r="35" spans="1:144" x14ac:dyDescent="0.25">
      <c r="A35" s="36" t="s">
        <v>76</v>
      </c>
      <c r="B35" s="35">
        <v>24200</v>
      </c>
      <c r="C35" s="51">
        <f t="shared" si="4"/>
        <v>0</v>
      </c>
      <c r="D35" s="35">
        <v>-24200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47"/>
    </row>
    <row r="36" spans="1:144" x14ac:dyDescent="0.25">
      <c r="A36" s="36" t="s">
        <v>79</v>
      </c>
      <c r="B36" s="50">
        <v>400</v>
      </c>
      <c r="C36" s="51">
        <f t="shared" si="4"/>
        <v>0</v>
      </c>
      <c r="D36" s="35">
        <v>-400</v>
      </c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47"/>
    </row>
    <row r="37" spans="1:144" x14ac:dyDescent="0.25">
      <c r="A37" s="36" t="s">
        <v>80</v>
      </c>
      <c r="B37" s="50">
        <v>3000</v>
      </c>
      <c r="C37" s="51">
        <f>B37+D37</f>
        <v>0</v>
      </c>
      <c r="D37" s="35">
        <v>-3000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47"/>
    </row>
    <row r="38" spans="1:144" x14ac:dyDescent="0.25">
      <c r="A38" s="36" t="s">
        <v>81</v>
      </c>
      <c r="B38" s="50">
        <v>3000</v>
      </c>
      <c r="C38" s="51">
        <f t="shared" ref="C38" si="5">B38+SUM(D38:FS38)</f>
        <v>0</v>
      </c>
      <c r="D38" s="35">
        <v>-3000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47"/>
    </row>
    <row r="39" spans="1:144" x14ac:dyDescent="0.25">
      <c r="A39" s="36" t="s">
        <v>82</v>
      </c>
      <c r="B39" s="50">
        <v>24000</v>
      </c>
      <c r="C39" s="51">
        <f t="shared" ref="C39" si="6">B39+SUM(D39:FS39)</f>
        <v>24000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47"/>
    </row>
    <row r="40" spans="1:144" x14ac:dyDescent="0.25">
      <c r="A40" s="36" t="s">
        <v>72</v>
      </c>
      <c r="B40" s="50">
        <v>1000</v>
      </c>
      <c r="C40" s="51">
        <f t="shared" ref="C40" si="7">B40+SUM(D40:FS40)</f>
        <v>1000</v>
      </c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47"/>
    </row>
    <row r="41" spans="1:144" x14ac:dyDescent="0.25">
      <c r="A41" s="36" t="s">
        <v>85</v>
      </c>
      <c r="B41" s="50">
        <v>3000</v>
      </c>
      <c r="C41" s="51">
        <f t="shared" ref="C41" si="8">B41+SUM(D41:FS41)</f>
        <v>3000</v>
      </c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47"/>
    </row>
    <row r="42" spans="1:144" x14ac:dyDescent="0.25">
      <c r="A42" s="36" t="s">
        <v>86</v>
      </c>
      <c r="B42" s="50">
        <v>25000</v>
      </c>
      <c r="C42" s="51">
        <f t="shared" ref="C42" si="9">B42+SUM(D42:FS42)</f>
        <v>0</v>
      </c>
      <c r="D42" s="35">
        <v>-25000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47"/>
    </row>
    <row r="43" spans="1:144" x14ac:dyDescent="0.25">
      <c r="A43" s="36" t="s">
        <v>88</v>
      </c>
      <c r="B43" s="50">
        <v>4000</v>
      </c>
      <c r="C43" s="51">
        <f t="shared" ref="C43" si="10">B43+SUM(D43:FS43)</f>
        <v>3300</v>
      </c>
      <c r="D43" s="35">
        <v>-700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47"/>
    </row>
    <row r="44" spans="1:144" x14ac:dyDescent="0.25">
      <c r="A44" s="36" t="s">
        <v>78</v>
      </c>
      <c r="B44" s="50">
        <v>1000</v>
      </c>
      <c r="C44" s="51">
        <f t="shared" ref="C44" si="11">B44+SUM(D44:FS44)</f>
        <v>1000</v>
      </c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47"/>
    </row>
    <row r="45" spans="1:144" x14ac:dyDescent="0.25">
      <c r="A45" s="36" t="s">
        <v>90</v>
      </c>
      <c r="B45" s="50">
        <v>9000</v>
      </c>
      <c r="C45" s="51">
        <f t="shared" ref="C45" si="12">B45+SUM(D45:FS45)</f>
        <v>9000</v>
      </c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47"/>
    </row>
    <row r="46" spans="1:144" x14ac:dyDescent="0.25">
      <c r="A46" s="36" t="s">
        <v>91</v>
      </c>
      <c r="B46" s="50">
        <v>8500</v>
      </c>
      <c r="C46" s="51">
        <f t="shared" ref="C46:C47" si="13">B46+SUM(D46:FS46)</f>
        <v>8500</v>
      </c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47"/>
    </row>
    <row r="47" spans="1:144" x14ac:dyDescent="0.25">
      <c r="A47" s="36" t="s">
        <v>92</v>
      </c>
      <c r="B47" s="50">
        <v>4000</v>
      </c>
      <c r="C47" s="51">
        <f t="shared" si="13"/>
        <v>4000</v>
      </c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47"/>
    </row>
    <row r="48" spans="1:144" ht="21" x14ac:dyDescent="0.35">
      <c r="B48" s="49">
        <f>SUM(B2:B47)</f>
        <v>419632</v>
      </c>
      <c r="C48" s="49">
        <f>SUM(C2:C47)</f>
        <v>288263</v>
      </c>
    </row>
  </sheetData>
  <sortState ref="A4:B35">
    <sortCondition ref="A1"/>
  </sortState>
  <conditionalFormatting sqref="A2:A37">
    <cfRule type="cellIs" dxfId="21" priority="23" operator="lessThan">
      <formula>0</formula>
    </cfRule>
  </conditionalFormatting>
  <conditionalFormatting sqref="D1:GQ37">
    <cfRule type="cellIs" dxfId="20" priority="21" operator="lessThan">
      <formula>0</formula>
    </cfRule>
  </conditionalFormatting>
  <conditionalFormatting sqref="A38">
    <cfRule type="cellIs" dxfId="19" priority="20" operator="lessThan">
      <formula>0</formula>
    </cfRule>
  </conditionalFormatting>
  <conditionalFormatting sqref="D38:GQ38">
    <cfRule type="cellIs" dxfId="18" priority="19" operator="lessThan">
      <formula>0</formula>
    </cfRule>
  </conditionalFormatting>
  <conditionalFormatting sqref="A39">
    <cfRule type="cellIs" dxfId="17" priority="18" operator="lessThan">
      <formula>0</formula>
    </cfRule>
  </conditionalFormatting>
  <conditionalFormatting sqref="D39:GQ39">
    <cfRule type="cellIs" dxfId="16" priority="17" operator="lessThan">
      <formula>0</formula>
    </cfRule>
  </conditionalFormatting>
  <conditionalFormatting sqref="A40">
    <cfRule type="cellIs" dxfId="15" priority="16" operator="lessThan">
      <formula>0</formula>
    </cfRule>
  </conditionalFormatting>
  <conditionalFormatting sqref="D40:GQ40">
    <cfRule type="cellIs" dxfId="14" priority="15" operator="lessThan">
      <formula>0</formula>
    </cfRule>
  </conditionalFormatting>
  <conditionalFormatting sqref="A41">
    <cfRule type="cellIs" dxfId="13" priority="14" operator="lessThan">
      <formula>0</formula>
    </cfRule>
  </conditionalFormatting>
  <conditionalFormatting sqref="D41:GQ41">
    <cfRule type="cellIs" dxfId="12" priority="13" operator="lessThan">
      <formula>0</formula>
    </cfRule>
  </conditionalFormatting>
  <conditionalFormatting sqref="A42">
    <cfRule type="cellIs" dxfId="11" priority="12" operator="lessThan">
      <formula>0</formula>
    </cfRule>
  </conditionalFormatting>
  <conditionalFormatting sqref="D42:GQ42">
    <cfRule type="cellIs" dxfId="10" priority="11" operator="lessThan">
      <formula>0</formula>
    </cfRule>
  </conditionalFormatting>
  <conditionalFormatting sqref="A43">
    <cfRule type="cellIs" dxfId="9" priority="10" operator="lessThan">
      <formula>0</formula>
    </cfRule>
  </conditionalFormatting>
  <conditionalFormatting sqref="D43:GQ43">
    <cfRule type="cellIs" dxfId="8" priority="9" operator="lessThan">
      <formula>0</formula>
    </cfRule>
  </conditionalFormatting>
  <conditionalFormatting sqref="A44">
    <cfRule type="cellIs" dxfId="7" priority="8" operator="lessThan">
      <formula>0</formula>
    </cfRule>
  </conditionalFormatting>
  <conditionalFormatting sqref="D44:GQ44">
    <cfRule type="cellIs" dxfId="6" priority="7" operator="lessThan">
      <formula>0</formula>
    </cfRule>
  </conditionalFormatting>
  <conditionalFormatting sqref="A45">
    <cfRule type="cellIs" dxfId="5" priority="6" operator="lessThan">
      <formula>0</formula>
    </cfRule>
  </conditionalFormatting>
  <conditionalFormatting sqref="D45:GQ45">
    <cfRule type="cellIs" dxfId="4" priority="5" operator="lessThan">
      <formula>0</formula>
    </cfRule>
  </conditionalFormatting>
  <conditionalFormatting sqref="A46">
    <cfRule type="cellIs" dxfId="3" priority="4" operator="lessThan">
      <formula>0</formula>
    </cfRule>
  </conditionalFormatting>
  <conditionalFormatting sqref="D46:GQ46">
    <cfRule type="cellIs" dxfId="2" priority="3" operator="lessThan">
      <formula>0</formula>
    </cfRule>
  </conditionalFormatting>
  <conditionalFormatting sqref="A47">
    <cfRule type="cellIs" dxfId="1" priority="2" operator="lessThan">
      <formula>0</formula>
    </cfRule>
  </conditionalFormatting>
  <conditionalFormatting sqref="D47:GQ47">
    <cfRule type="cellIs" dxfId="0" priority="1" operator="lessThan">
      <formula>0</formula>
    </cfRule>
  </conditionalFormatting>
  <pageMargins left="0.7" right="0.7" top="0.75" bottom="0.75" header="0.3" footer="0.3"/>
  <pageSetup paperSize="288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غلة</vt:lpstr>
      <vt:lpstr>تبييض لنا</vt:lpstr>
      <vt:lpstr>تبييض له</vt:lpstr>
      <vt:lpstr>له</vt:lpstr>
      <vt:lpstr>لنا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</dc:creator>
  <cp:lastModifiedBy>soft</cp:lastModifiedBy>
  <dcterms:created xsi:type="dcterms:W3CDTF">2025-10-08T07:45:09Z</dcterms:created>
  <dcterms:modified xsi:type="dcterms:W3CDTF">2026-03-25T19:59:53Z</dcterms:modified>
</cp:coreProperties>
</file>